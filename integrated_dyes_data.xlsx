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Spectra50 v1.1.0\data\"/>
    </mc:Choice>
  </mc:AlternateContent>
  <xr:revisionPtr revIDLastSave="0" documentId="13_ncr:1_{76204B25-E203-42C8-9A24-53A6E850D02D}" xr6:coauthVersionLast="47" xr6:coauthVersionMax="47" xr10:uidLastSave="{00000000-0000-0000-0000-000000000000}"/>
  <bookViews>
    <workbookView xWindow="-120" yWindow="-120" windowWidth="29040" windowHeight="15720" xr2:uid="{E355BAF3-81A5-4751-AE4F-EE2EF90875A4}"/>
  </bookViews>
  <sheets>
    <sheet name="Sheet1" sheetId="1" r:id="rId1"/>
    <sheet name="Sheet2" sheetId="2" r:id="rId2"/>
  </sheets>
  <definedNames>
    <definedName name="_xlnm._FilterDatabase" localSheetId="0" hidden="1">Sheet1!$A$1:$Y$161</definedName>
    <definedName name="_xlnm._FilterDatabase" localSheetId="1" hidden="1">Sheet2!$A$2:$AC$130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2" i="2" l="1"/>
  <c r="X32" i="2"/>
  <c r="W32" i="2"/>
  <c r="Y29" i="2"/>
  <c r="X29" i="2"/>
  <c r="W29" i="2"/>
  <c r="Y27" i="2"/>
  <c r="X27" i="2"/>
  <c r="W27" i="2"/>
  <c r="Y25" i="2"/>
  <c r="X25" i="2"/>
  <c r="W25" i="2"/>
  <c r="Y24" i="2"/>
  <c r="X24" i="2"/>
  <c r="W24" i="2"/>
  <c r="Y23" i="2"/>
  <c r="X23" i="2"/>
  <c r="W23" i="2"/>
  <c r="Y22" i="2"/>
  <c r="X22" i="2"/>
  <c r="W22" i="2"/>
  <c r="Y21" i="2"/>
  <c r="X21" i="2"/>
  <c r="W21" i="2"/>
  <c r="Y16" i="2"/>
  <c r="X16" i="2"/>
  <c r="W16" i="2"/>
  <c r="Y13" i="2"/>
  <c r="X13" i="2"/>
  <c r="W13" i="2"/>
  <c r="Y12" i="2"/>
  <c r="X12" i="2"/>
  <c r="W12" i="2"/>
  <c r="Y11" i="2"/>
  <c r="X11" i="2"/>
  <c r="W11" i="2"/>
  <c r="Y10" i="2"/>
  <c r="X10" i="2"/>
  <c r="W10" i="2"/>
  <c r="Y9" i="2"/>
  <c r="X9" i="2"/>
  <c r="W9" i="2"/>
  <c r="Y8" i="2"/>
  <c r="X8" i="2"/>
  <c r="W8" i="2"/>
  <c r="Y7" i="2"/>
  <c r="X7" i="2"/>
  <c r="W7" i="2"/>
  <c r="Y4" i="2"/>
  <c r="X4" i="2"/>
  <c r="W4" i="2"/>
  <c r="X3" i="2"/>
  <c r="W3" i="2"/>
</calcChain>
</file>

<file path=xl/sharedStrings.xml><?xml version="1.0" encoding="utf-8"?>
<sst xmlns="http://schemas.openxmlformats.org/spreadsheetml/2006/main" count="1626" uniqueCount="355">
  <si>
    <t>염료그룹</t>
  </si>
  <si>
    <t>Suncion H-E</t>
  </si>
  <si>
    <t>Suncion H-EL</t>
  </si>
  <si>
    <t>Sunfix SPR</t>
  </si>
  <si>
    <t>Sunfix EX</t>
  </si>
  <si>
    <t>Sunfix Classic</t>
  </si>
  <si>
    <t>Sunfix FE-A</t>
  </si>
  <si>
    <t>Sunfix HP</t>
  </si>
  <si>
    <t>Sunfix SS</t>
  </si>
  <si>
    <t>Sunfron C</t>
  </si>
  <si>
    <t>Sunfron SN</t>
  </si>
  <si>
    <t>Sunzol GRB</t>
  </si>
  <si>
    <t>Sunzol Classic</t>
  </si>
  <si>
    <t>Sunzol Black</t>
  </si>
  <si>
    <t>Sunfix SPD conc.</t>
  </si>
  <si>
    <t>Sunfix MF-D</t>
  </si>
  <si>
    <t>Sunfix MF-CN</t>
  </si>
  <si>
    <t>4</t>
    <phoneticPr fontId="1" type="noConversion"/>
  </si>
  <si>
    <t>3</t>
    <phoneticPr fontId="1" type="noConversion"/>
  </si>
  <si>
    <t>2</t>
    <phoneticPr fontId="1" type="noConversion"/>
  </si>
  <si>
    <t>5</t>
    <phoneticPr fontId="1" type="noConversion"/>
  </si>
  <si>
    <t>1</t>
    <phoneticPr fontId="1" type="noConversion"/>
  </si>
  <si>
    <t>6</t>
    <phoneticPr fontId="1" type="noConversion"/>
  </si>
  <si>
    <t>일광</t>
  </si>
  <si>
    <t>땀일광(산성)</t>
  </si>
  <si>
    <t>땀일광(알칼리)</t>
  </si>
  <si>
    <t>땀(산성)</t>
  </si>
  <si>
    <t>땀(알칼리)</t>
  </si>
  <si>
    <t>세탁</t>
  </si>
  <si>
    <t>염소수</t>
  </si>
  <si>
    <t>Suncion CP-R</t>
    <phoneticPr fontId="1" type="noConversion"/>
  </si>
  <si>
    <t>Suncion Yellow H-E6GN</t>
  </si>
  <si>
    <t>Suncion Yellow H-E4G</t>
  </si>
  <si>
    <t>Suncion Yellow H-E4RN</t>
  </si>
  <si>
    <t>Suncion Orange H-ER</t>
  </si>
  <si>
    <t>Suncion Red H-E3B</t>
  </si>
  <si>
    <t>Suncion Red H-E7B</t>
  </si>
  <si>
    <t>Suncion Turquoise Blue H-A</t>
  </si>
  <si>
    <t>Suncion Blue H-EGN 125%</t>
  </si>
  <si>
    <t>Suncion Blue H-ERD 125%</t>
  </si>
  <si>
    <t>Suncion Green H-E4BD</t>
  </si>
  <si>
    <t>Suncion Navy Blue H-ER 150%</t>
  </si>
  <si>
    <t>Suncion Black H-EM</t>
  </si>
  <si>
    <t>Suncion Yellow H-EL</t>
  </si>
  <si>
    <t>Suncion Red H-EGL</t>
  </si>
  <si>
    <t>Suncion Crimson H-EL</t>
  </si>
  <si>
    <t>Suncion Navy Blue H-ELN</t>
  </si>
  <si>
    <t>Sunfix Yellow SPR</t>
  </si>
  <si>
    <t>Sunfix Red SPR</t>
  </si>
  <si>
    <t>Sunfix Red SPR-F</t>
  </si>
  <si>
    <t>Sunfix Blue SPR</t>
  </si>
  <si>
    <t>Sunfix Blue SPR-F</t>
  </si>
  <si>
    <t>Sunfix Yellow SPD conc.</t>
  </si>
  <si>
    <t>Sunfix Red SPD conc.</t>
  </si>
  <si>
    <t>Sunfix Blue SPD conc.</t>
  </si>
  <si>
    <t>Sunfix Space SPD conc.</t>
  </si>
  <si>
    <t>Sunfix Navy Blue SPD conc.</t>
  </si>
  <si>
    <t>Sunfix Yellow EX</t>
  </si>
  <si>
    <t>Sunfix Red EX</t>
  </si>
  <si>
    <t>Sunfix Blue EX</t>
  </si>
  <si>
    <t>Sunfix Dark Blue EX</t>
  </si>
  <si>
    <t>Sunfix Navy Blue EX</t>
  </si>
  <si>
    <t>Sunfix Yellow S3R 150%</t>
  </si>
  <si>
    <t>Sunfix Red S3B 150%</t>
  </si>
  <si>
    <t>Sunfix Navy Blue SB</t>
  </si>
  <si>
    <t>Sunfix Yellow S4GL 200%</t>
  </si>
  <si>
    <t>Sunfix Orange S2R 150%</t>
  </si>
  <si>
    <t>Sunfix Orange S2RN</t>
  </si>
  <si>
    <t>Sunfix Orange SBR</t>
  </si>
  <si>
    <t>Sunfix Scarlet S2G 150%</t>
  </si>
  <si>
    <t>Sunfix Red S2B</t>
  </si>
  <si>
    <t>Sunfix Red SBS 150%</t>
  </si>
  <si>
    <t>Sunfix Ruby S3B</t>
  </si>
  <si>
    <t>Sunfix Red S6B</t>
  </si>
  <si>
    <t>Sunfix Violet S5R</t>
  </si>
  <si>
    <t>Sunfix Blue SF-RL 200%</t>
  </si>
  <si>
    <t>Sunfix Blue SBR</t>
  </si>
  <si>
    <t>Sunfix Green S4B</t>
  </si>
  <si>
    <t>Sunfix Navy Blue SGN</t>
  </si>
  <si>
    <t>Sunfix Navy Blue S2G</t>
  </si>
  <si>
    <t>Sunfix Navy Blue SB conc.</t>
  </si>
  <si>
    <t>Sunfix Navy Blue SBF spec.</t>
  </si>
  <si>
    <t>Sunfix Night S-R</t>
  </si>
  <si>
    <t>Sunfix Grey SRL</t>
  </si>
  <si>
    <t>Sunfix Red FE-6BA</t>
  </si>
  <si>
    <t>Sunfix Royal Blue FE-FR</t>
  </si>
  <si>
    <t>Sunfix Navy Blue FE-BNA</t>
  </si>
  <si>
    <t>Sunfix Lemon Yellow HP</t>
  </si>
  <si>
    <t>Sunfix Yellow HP</t>
  </si>
  <si>
    <t>Sunfix Amber HP</t>
  </si>
  <si>
    <t>Sunfix Yellow Brown HP</t>
  </si>
  <si>
    <t>Sunfix Orange HP</t>
  </si>
  <si>
    <t>Sunfix Cardinal HP</t>
  </si>
  <si>
    <t>Sunfix Red HP</t>
  </si>
  <si>
    <t xml:space="preserve">Sunfix Red HP-2B </t>
  </si>
  <si>
    <t>Sunfix Stay Blue HP</t>
  </si>
  <si>
    <t>Sunfix Blue HP</t>
  </si>
  <si>
    <t>Sunfix Space HP</t>
  </si>
  <si>
    <t>Sunfix Navy Blue HP</t>
  </si>
  <si>
    <t>Sunfix Forest HP</t>
  </si>
  <si>
    <t>Sunfix Black HP</t>
  </si>
  <si>
    <t>Sunfix Yellow SS</t>
  </si>
  <si>
    <t>Sunfix Yellow SS conc.</t>
  </si>
  <si>
    <t>Sunfix Yellow SSR</t>
  </si>
  <si>
    <t>Sunfix Orange SS</t>
  </si>
  <si>
    <t>Sunfix Red SS</t>
  </si>
  <si>
    <t>Sunfix Red SS-2B</t>
  </si>
  <si>
    <t>Sunfix Deep Red SS</t>
  </si>
  <si>
    <t>Sunfix Blue SSR</t>
  </si>
  <si>
    <t>Sunfix Dark Blue SS</t>
  </si>
  <si>
    <t>Sunfix Navy Blue SS</t>
  </si>
  <si>
    <t>Sunfix Orange MF-D</t>
  </si>
  <si>
    <t>Sunfix Red MF-GD conc.</t>
  </si>
  <si>
    <t>Sunfix Red MF-3G</t>
  </si>
  <si>
    <t>Sunfix Red MF-2BS</t>
  </si>
  <si>
    <t>Sunfix Red MF-SB</t>
  </si>
  <si>
    <t>Sunfix Navy Blue MF-D</t>
  </si>
  <si>
    <t>Sunfix Navy Blue MF-GD</t>
  </si>
  <si>
    <t>Sunfix Navy Blue MF-RD</t>
  </si>
  <si>
    <t>Sunfix Yellow MF-CN</t>
  </si>
  <si>
    <t>Sunfix Orange MF-CN</t>
  </si>
  <si>
    <t>Sunfix Red MF-CN</t>
  </si>
  <si>
    <t>Sunfix Deep Red MF-CN</t>
  </si>
  <si>
    <t>Sunfix Blue MF-CN</t>
  </si>
  <si>
    <t>Sunfix Navy Blue MF-CN</t>
  </si>
  <si>
    <t>Sunfron Yellow C-4G</t>
  </si>
  <si>
    <t>Sunfron Yellow C-RG</t>
  </si>
  <si>
    <t>Sunfron Amber C-R</t>
  </si>
  <si>
    <t>Sunfron Orange C-R</t>
  </si>
  <si>
    <t>Sunfron Red C-2G</t>
  </si>
  <si>
    <t>Sunfron Red C-2BL</t>
  </si>
  <si>
    <t>Sunfron Blue C-R</t>
  </si>
  <si>
    <t>Sunfron Navy Blue C-R</t>
  </si>
  <si>
    <t>Sunfron Yellow NP</t>
  </si>
  <si>
    <t>Sunfron Yellow SN-2R</t>
  </si>
  <si>
    <t>Sunfron Orange SN-R</t>
  </si>
  <si>
    <t>Sunfron Red SN-R</t>
  </si>
  <si>
    <t>Sunfron Red SN-2BL</t>
  </si>
  <si>
    <t>Sunfron Red SN-2BL 01</t>
  </si>
  <si>
    <t>Sunfron Blue SN-R</t>
  </si>
  <si>
    <t>Sunfron Dark Blue SN-R</t>
  </si>
  <si>
    <t>Sunfron Navy Blue SN-GN 150%</t>
  </si>
  <si>
    <t>Sunzol G/Yellow GRB</t>
  </si>
  <si>
    <t>Sunzol Ultra Yellow GRBN</t>
  </si>
  <si>
    <t>Sunzol Red GRB</t>
  </si>
  <si>
    <t>Sunzol Ultra Red GRB</t>
  </si>
  <si>
    <t>Sunzol Blue GRB</t>
  </si>
  <si>
    <t>Sunzol Navy Blue GRB</t>
  </si>
  <si>
    <t>Sunzol Yellow GR</t>
  </si>
  <si>
    <t>Sunzol G/Yellow 2RN 150%</t>
  </si>
  <si>
    <t>Sunzol Orange 3R</t>
  </si>
  <si>
    <t>Sunzol Red BB 150%</t>
  </si>
  <si>
    <t>Sunzol Red F3B</t>
  </si>
  <si>
    <t>Sunzol Red RB 133%</t>
  </si>
  <si>
    <t>Sunzol Violet 5R</t>
  </si>
  <si>
    <t>Sunzol Green 6B</t>
  </si>
  <si>
    <t>Sunzol Turquoise Blue G 266%</t>
  </si>
  <si>
    <t>Sunzol Blue RS 150%</t>
  </si>
  <si>
    <t>Sunzol Blue BB 133%</t>
  </si>
  <si>
    <t>Sunzol Navy Blue GG</t>
  </si>
  <si>
    <t>Sunzol Grey RL</t>
  </si>
  <si>
    <t>Sunzol Black B 150%</t>
  </si>
  <si>
    <t>Sunzol Black DN conc.</t>
  </si>
  <si>
    <t>Sunzol Black GN conc.</t>
  </si>
  <si>
    <t>Sunzol Black RN conc.</t>
  </si>
  <si>
    <t>Sunzol Black BN conc.</t>
  </si>
  <si>
    <t>Sunzol Black MT conc.</t>
  </si>
  <si>
    <t>Sunzol Black WN conc.</t>
  </si>
  <si>
    <t>Sunzol Black EXF</t>
  </si>
  <si>
    <t>Sunzol Black EXPR</t>
  </si>
  <si>
    <t>Sunzol Black SWT</t>
  </si>
  <si>
    <t>Sunzol Black NWR liq.</t>
  </si>
  <si>
    <t>Sunzol Black NWRS liq.</t>
  </si>
  <si>
    <t>Sunzol Black NWS liq.</t>
  </si>
  <si>
    <t>Sunzol Black FXB liq.</t>
  </si>
  <si>
    <t>Sunzol Black FSL liq.</t>
  </si>
  <si>
    <t>Sunzol Black CNN liq.</t>
  </si>
  <si>
    <t>Sunzol Black YSW liq.</t>
  </si>
  <si>
    <t>Suncion Lemon Yellow CP-R</t>
  </si>
  <si>
    <t>Suncion Yellow CP-R</t>
  </si>
  <si>
    <t>Suncion Red CP-R</t>
  </si>
  <si>
    <t>Suncion Blue CP-R</t>
  </si>
  <si>
    <t>Suncion Orange CP-R</t>
  </si>
  <si>
    <t>Suncion Brown CP-R</t>
  </si>
  <si>
    <t>Suncion Deep Red CP-R</t>
  </si>
  <si>
    <t>Suncion Dark Blue CP-R</t>
  </si>
  <si>
    <t>Suncion Turquoise Blue CP-R</t>
  </si>
  <si>
    <t>Suncion Royal Blue CP-R</t>
  </si>
  <si>
    <t>Suncion Navy Blue CP-R</t>
  </si>
  <si>
    <t>Suncion Black CP-R</t>
  </si>
  <si>
    <t>염료명</t>
    <phoneticPr fontId="1" type="noConversion"/>
  </si>
  <si>
    <t>5회</t>
    <phoneticPr fontId="9" type="noConversion"/>
  </si>
  <si>
    <t>10회</t>
    <phoneticPr fontId="9" type="noConversion"/>
  </si>
  <si>
    <t>15회</t>
    <phoneticPr fontId="9" type="noConversion"/>
  </si>
  <si>
    <t>20회</t>
    <phoneticPr fontId="9" type="noConversion"/>
  </si>
  <si>
    <t>30회</t>
    <phoneticPr fontId="9" type="noConversion"/>
  </si>
  <si>
    <t>40회</t>
    <phoneticPr fontId="9" type="noConversion"/>
  </si>
  <si>
    <t>50회</t>
    <phoneticPr fontId="9" type="noConversion"/>
  </si>
  <si>
    <t>3</t>
    <phoneticPr fontId="9" type="noConversion"/>
  </si>
  <si>
    <t>4</t>
    <phoneticPr fontId="9" type="noConversion"/>
  </si>
  <si>
    <t>2</t>
    <phoneticPr fontId="9" type="noConversion"/>
  </si>
  <si>
    <t>4</t>
  </si>
  <si>
    <t>3</t>
  </si>
  <si>
    <t>2</t>
  </si>
  <si>
    <t>1</t>
  </si>
  <si>
    <t>SD 1/1</t>
    <phoneticPr fontId="1" type="noConversion"/>
  </si>
  <si>
    <t>Sunfix Red SSN</t>
    <phoneticPr fontId="1" type="noConversion"/>
  </si>
  <si>
    <t>세탁</t>
    <phoneticPr fontId="1" type="noConversion"/>
  </si>
  <si>
    <t>승화</t>
  </si>
  <si>
    <t>물</t>
  </si>
  <si>
    <t>땀</t>
  </si>
  <si>
    <t>130x10</t>
    <phoneticPr fontId="1" type="noConversion"/>
  </si>
  <si>
    <t>130x30</t>
    <phoneticPr fontId="1" type="noConversion"/>
  </si>
  <si>
    <t>130x50</t>
    <phoneticPr fontId="1" type="noConversion"/>
  </si>
  <si>
    <t>Suncron Yellow S-FW ECO</t>
  </si>
  <si>
    <t>Suncron G/Yellow S-3FW ECO</t>
  </si>
  <si>
    <t>Suncron Yellow Brown S-FW ECO</t>
    <phoneticPr fontId="1" type="noConversion"/>
  </si>
  <si>
    <t>Suncron Red CBN ECO</t>
  </si>
  <si>
    <t>Suncron Red S-BFW ECO</t>
  </si>
  <si>
    <t>Suncron Red S-3FW ECO</t>
  </si>
  <si>
    <t>Suncron Brill. Red S-FWH ECO</t>
  </si>
  <si>
    <t>Suncron Red S-FW ECO</t>
  </si>
  <si>
    <t>Suncron Turquoise Blue S-FW ECO</t>
  </si>
  <si>
    <t>Suncron Blue S-FWN ECO</t>
  </si>
  <si>
    <t>Suncron Navy Blue S-FWN ECO</t>
  </si>
  <si>
    <t>Suncron Navy Blue S-GFW ECO</t>
  </si>
  <si>
    <t>Suncron Navy Blue S-XFW ECO</t>
  </si>
  <si>
    <t>Suncron Black S-FWH ECO</t>
  </si>
  <si>
    <t>Suncron Black S-NFW ECO</t>
  </si>
  <si>
    <t>Suncron Black S-XFW ECO</t>
  </si>
  <si>
    <t>Suncron Black S-YFW ECO</t>
  </si>
  <si>
    <t>Suncron Yellow T-FW ECO</t>
  </si>
  <si>
    <t>Suncron Yellow Brown T-FW ECO</t>
  </si>
  <si>
    <t>Suncron Orange T-FW ECO</t>
  </si>
  <si>
    <t>Suncron Scarlet T-FW ECO</t>
  </si>
  <si>
    <t>Suncron Crimson T-FW ECO</t>
  </si>
  <si>
    <t>Suncron Rubine T-FW ECO</t>
  </si>
  <si>
    <t>Suncron Rubine T-BFW 150% ECO</t>
  </si>
  <si>
    <t>Suncron Maroon T-FW ECO</t>
  </si>
  <si>
    <t>Suncron Blue T-FW ECO</t>
  </si>
  <si>
    <t>Suncron Navy Blue T-FW ECO</t>
  </si>
  <si>
    <t>Suncron Navy Blue T-BFW ECO</t>
  </si>
  <si>
    <t>Suncron Navy Blue T-GFW ECO</t>
  </si>
  <si>
    <t>Suncron Black T-FW ECO</t>
  </si>
  <si>
    <t>Suncron Black T-RFW ECO</t>
  </si>
  <si>
    <t>Suncron Black T-XFW ECO</t>
  </si>
  <si>
    <t>Suncron Yellow S-6G ECO</t>
  </si>
  <si>
    <t>Suncron Yellow S-4G ECO</t>
  </si>
  <si>
    <t>Suncron Yellow S-GFN ECO</t>
  </si>
  <si>
    <t>Suncron Orange S-3RL ECO</t>
  </si>
  <si>
    <t>Suncron Yellow Brown S-2RFL 150% ECO</t>
  </si>
  <si>
    <t>Suncron Yellow Brown S-RL 150% ECO</t>
  </si>
  <si>
    <t>Suncron Brown S-GRE ECO</t>
  </si>
  <si>
    <t>Suncron Red S-BLSF ECO</t>
  </si>
  <si>
    <t>Suncron Red S-2BSN 150% ECO</t>
  </si>
  <si>
    <t>Suncron Red S-RBL ECO</t>
  </si>
  <si>
    <t>Suncron Rubine S-2GFL ECO</t>
  </si>
  <si>
    <t>Suncron Rubine S-GF 250%</t>
  </si>
  <si>
    <t>Suncron Rubine S-BL ECO</t>
  </si>
  <si>
    <t>Suncron Turquoise Blue G-GL 200% ECO</t>
  </si>
  <si>
    <t>Suncron Turquoise Blue S-GL 200% ECO</t>
  </si>
  <si>
    <t>Suncron Blue S-FBL 300% ECO</t>
  </si>
  <si>
    <t>Suncron Blue S-BG ECO</t>
  </si>
  <si>
    <t>Suncron Blue S-TG ECO</t>
  </si>
  <si>
    <t>Suncron Blue S-2G ECO</t>
  </si>
  <si>
    <t>Suncron Blue S-HP 200% ECO</t>
  </si>
  <si>
    <t>Suncron Navy Blue S-2GL 200% ECO</t>
  </si>
  <si>
    <t>Suncron Black KSL ECO</t>
  </si>
  <si>
    <t>Suncron Black S-N 300% ECO</t>
  </si>
  <si>
    <t>Suncron Black S-PN</t>
  </si>
  <si>
    <t>Suncron Black S-TRF</t>
  </si>
  <si>
    <t>Suncron Black S-HP 300%</t>
  </si>
  <si>
    <t>Suncron Black ECO-AK liq.</t>
  </si>
  <si>
    <t>Suncron Black S-NW liq.</t>
  </si>
  <si>
    <t>Suncron Black ECO-GW liq.</t>
  </si>
  <si>
    <t>Suncron Black ECO-PW liq.</t>
  </si>
  <si>
    <t>Suncron Black P-SB liq.</t>
  </si>
  <si>
    <t>Suncron Black AXE liq.</t>
  </si>
  <si>
    <t>Suncron Black S-SFO liq.</t>
  </si>
  <si>
    <t>Suncron Black ECO-RD liq.</t>
  </si>
  <si>
    <t>Suncron Black ECO-SF liq.</t>
  </si>
  <si>
    <t>Suncron Black ECO-LS liq.</t>
  </si>
  <si>
    <t>Suncron Black KLF liq.</t>
  </si>
  <si>
    <t>Suncron Black SR liq.</t>
  </si>
  <si>
    <t xml:space="preserve">Suncron Yellow SE-5G </t>
  </si>
  <si>
    <t>Suncron Yellow SE-4G ECO</t>
  </si>
  <si>
    <t>Suncron Orange SE-2R 150%</t>
  </si>
  <si>
    <t>Suncron Yellow Brown SE-R ECO</t>
  </si>
  <si>
    <t>Suncron Scarlet SE-GS 200%</t>
  </si>
  <si>
    <t>Suncron Red SE-BS 200%</t>
  </si>
  <si>
    <t>Suncron Red SE-F3BS 150% ECO</t>
  </si>
  <si>
    <t>Suncron Rubine SE-GL 200% ECO</t>
  </si>
  <si>
    <t>Suncron Rubine SE-CB 200% ECO</t>
  </si>
  <si>
    <t>Suncron Violet SE-FBL 200% ECO</t>
  </si>
  <si>
    <t>Suncron Blue SE-2BL ECO</t>
  </si>
  <si>
    <t>Suncron Blue SE-2R ECO</t>
  </si>
  <si>
    <t>Suncron Blue SE-3RT ECO</t>
  </si>
  <si>
    <t>Suncron Green SE-6B</t>
  </si>
  <si>
    <t>Suncron Navy Blue SE-SFO 300% ECO</t>
  </si>
  <si>
    <t>Suncron Black S-SFO 300% ECO</t>
  </si>
  <si>
    <t>Suncron Black S-EXN 300% ECO</t>
  </si>
  <si>
    <t>Suncron Black S-SH ECO</t>
  </si>
  <si>
    <t>Suncron Yellow SP-SE ECO</t>
  </si>
  <si>
    <t>Suncron Red SP-SE ECO</t>
  </si>
  <si>
    <t>Suncron Blue SP-SE ECO</t>
  </si>
  <si>
    <t>Suncron Deep Black SP-SE ECO</t>
  </si>
  <si>
    <t>Suncron Yellow 10GN 400% ECO</t>
  </si>
  <si>
    <t>Suncron Orange SR ECO</t>
  </si>
  <si>
    <t>Suncron Red 3BFF ECO</t>
  </si>
  <si>
    <t>Suncron Pink BG</t>
  </si>
  <si>
    <t>Suncron Pink BGN ECO</t>
  </si>
  <si>
    <t>Suncron Red F-G ECO</t>
  </si>
  <si>
    <t>Suncron Brill. Violet R ECO</t>
  </si>
  <si>
    <t>Suncron Brill. Violet B</t>
  </si>
  <si>
    <t>Suncron Brill. Blue R ECO</t>
  </si>
  <si>
    <t>Suncron Brill. Blue RF ECO</t>
  </si>
  <si>
    <t>Suncron Cyanine B ECO</t>
  </si>
  <si>
    <t>Suncron Yellow E-3G 200% ECO</t>
  </si>
  <si>
    <t>Suncron Orange E-H3R 200% ECO</t>
  </si>
  <si>
    <t>Suncron Scarlet E-2G 150% ECO</t>
  </si>
  <si>
    <t>Suncron Red E-FB 200% ECO</t>
  </si>
  <si>
    <t>Suncron Blue E-FBL ECO</t>
  </si>
  <si>
    <t>Suncron Yellow RD-E ECO</t>
  </si>
  <si>
    <t>Suncron Red RD-E ECO</t>
  </si>
  <si>
    <t>Suncron Blue RD-E ECO</t>
  </si>
  <si>
    <t>Suncron Yellow APEX</t>
  </si>
  <si>
    <t>Suncron Yellow Brown APEX</t>
  </si>
  <si>
    <t>Suncron Rubine APEX</t>
  </si>
  <si>
    <t>Suncron Blue APEX</t>
  </si>
  <si>
    <t>Suncron Ocean APEX</t>
  </si>
  <si>
    <t>Suncron Navy Blue APEX</t>
  </si>
  <si>
    <t>Suncron Black APEX</t>
  </si>
  <si>
    <t>Suncron Light Yellow  CP-D</t>
  </si>
  <si>
    <t>Suncron Light Red CP-D</t>
  </si>
  <si>
    <t>Suncron Light Blue CP-D</t>
  </si>
  <si>
    <t>Suncron Yellow  CP-D</t>
  </si>
  <si>
    <t>Suncron Blue CP-D</t>
  </si>
  <si>
    <t>Suncron Yellow Brown CP-D</t>
  </si>
  <si>
    <t>Suncron Rubine CP-D</t>
  </si>
  <si>
    <t>Suncron Violet CP-D</t>
  </si>
  <si>
    <t>Suncron Navy Blue CP-D</t>
  </si>
  <si>
    <t>Suncron Black CP-D</t>
  </si>
  <si>
    <t>ISO 105-C06, C2S</t>
    <phoneticPr fontId="1" type="noConversion"/>
  </si>
  <si>
    <t>180℃ x 30 sec.</t>
    <phoneticPr fontId="1" type="noConversion"/>
  </si>
  <si>
    <t>nylon</t>
  </si>
  <si>
    <t>Acid</t>
  </si>
  <si>
    <t>Alkali</t>
  </si>
  <si>
    <t xml:space="preserve">일광 </t>
  </si>
  <si>
    <t>반복세탁</t>
    <phoneticPr fontId="1" type="noConversion"/>
  </si>
  <si>
    <t>상용성</t>
    <phoneticPr fontId="1" type="noConversion"/>
  </si>
  <si>
    <t>20hrs</t>
    <phoneticPr fontId="1" type="noConversion"/>
  </si>
  <si>
    <t>S/D</t>
    <phoneticPr fontId="1" type="noConversion"/>
  </si>
  <si>
    <t>1/1</t>
    <phoneticPr fontId="1" type="noConversion"/>
  </si>
  <si>
    <t>7</t>
    <phoneticPr fontId="1" type="noConversion"/>
  </si>
  <si>
    <t>AATCC 61, 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</si>
</sst>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0.0_);[Red]\(0.0\)"/>
    <numFmt numFmtId="178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7" fillId="5" borderId="1" xfId="2" applyNumberFormat="1" applyFont="1" applyFill="1" applyBorder="1" applyAlignment="1">
      <alignment horizontal="center" vertical="center"/>
    </xf>
    <xf numFmtId="177" fontId="7" fillId="5" borderId="1" xfId="2" quotePrefix="1" applyNumberFormat="1" applyFont="1" applyFill="1" applyBorder="1" applyAlignment="1">
      <alignment horizontal="center" vertical="center"/>
    </xf>
    <xf numFmtId="177" fontId="7" fillId="5" borderId="1" xfId="3" applyNumberFormat="1" applyFont="1" applyFill="1" applyBorder="1" applyAlignment="1">
      <alignment horizontal="center" vertical="center"/>
    </xf>
    <xf numFmtId="177" fontId="8" fillId="5" borderId="1" xfId="2" applyNumberFormat="1" applyFont="1" applyFill="1" applyBorder="1" applyAlignment="1">
      <alignment horizontal="center" vertical="center"/>
    </xf>
    <xf numFmtId="177" fontId="8" fillId="5" borderId="1" xfId="3" applyNumberFormat="1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49" fontId="11" fillId="6" borderId="1" xfId="2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49" fontId="11" fillId="7" borderId="1" xfId="2" applyNumberFormat="1" applyFont="1" applyFill="1" applyBorder="1" applyAlignment="1">
      <alignment horizontal="center" vertical="center" wrapText="1"/>
    </xf>
    <xf numFmtId="49" fontId="11" fillId="8" borderId="1" xfId="2" applyNumberFormat="1" applyFont="1" applyFill="1" applyBorder="1" applyAlignment="1">
      <alignment horizontal="center" vertical="center"/>
    </xf>
    <xf numFmtId="49" fontId="11" fillId="0" borderId="1" xfId="2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2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177" fontId="11" fillId="7" borderId="1" xfId="2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2" applyFont="1" applyFill="1" applyBorder="1" applyAlignment="1">
      <alignment horizontal="left" vertical="center" wrapText="1"/>
    </xf>
    <xf numFmtId="177" fontId="11" fillId="6" borderId="1" xfId="2" applyNumberFormat="1" applyFont="1" applyFill="1" applyBorder="1" applyAlignment="1">
      <alignment horizontal="center" vertical="center" wrapText="1"/>
    </xf>
    <xf numFmtId="177" fontId="11" fillId="6" borderId="1" xfId="2" quotePrefix="1" applyNumberFormat="1" applyFont="1" applyFill="1" applyBorder="1" applyAlignment="1">
      <alignment horizontal="center" vertical="center" wrapText="1"/>
    </xf>
    <xf numFmtId="177" fontId="11" fillId="6" borderId="1" xfId="3" applyNumberFormat="1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1" fillId="7" borderId="3" xfId="2" applyNumberFormat="1" applyFont="1" applyFill="1" applyBorder="1" applyAlignment="1">
      <alignment horizontal="center" vertical="center" wrapText="1"/>
    </xf>
    <xf numFmtId="49" fontId="11" fillId="7" borderId="2" xfId="2" applyNumberFormat="1" applyFont="1" applyFill="1" applyBorder="1" applyAlignment="1">
      <alignment horizontal="center" vertical="center" wrapText="1"/>
    </xf>
    <xf numFmtId="49" fontId="11" fillId="7" borderId="1" xfId="2" applyNumberFormat="1" applyFont="1" applyFill="1" applyBorder="1" applyAlignment="1">
      <alignment horizontal="center" vertical="center" wrapText="1"/>
    </xf>
  </cellXfs>
  <cellStyles count="4">
    <cellStyle name="백분율" xfId="1" builtinId="5"/>
    <cellStyle name="쉼표 [0] 2" xfId="3" xr:uid="{49C0F5A1-8631-44E6-91D0-7A66CFAEB0C6}"/>
    <cellStyle name="표준" xfId="0" builtinId="0"/>
    <cellStyle name="표준 2" xfId="2" xr:uid="{A5997F99-7738-4A7A-9AE9-7F5784E72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554-19B0-43F2-ABD1-883041E60297}">
  <dimension ref="A1:Y161"/>
  <sheetViews>
    <sheetView tabSelected="1" workbookViewId="0">
      <pane xSplit="2" topLeftCell="C1" activePane="topRight" state="frozen"/>
      <selection pane="topRight" activeCell="C30" sqref="C30"/>
    </sheetView>
  </sheetViews>
  <sheetFormatPr defaultRowHeight="13.5" x14ac:dyDescent="0.3"/>
  <cols>
    <col min="1" max="1" width="14.875" style="3" bestFit="1" customWidth="1"/>
    <col min="2" max="2" width="27.75" style="3" bestFit="1" customWidth="1"/>
    <col min="3" max="3" width="10.5" style="3" bestFit="1" customWidth="1"/>
    <col min="4" max="4" width="9.625" style="4" bestFit="1" customWidth="1"/>
    <col min="5" max="5" width="11.375" style="4" bestFit="1" customWidth="1"/>
    <col min="6" max="6" width="11.375" style="4" customWidth="1"/>
    <col min="7" max="7" width="12.75" style="4" bestFit="1" customWidth="1"/>
    <col min="8" max="8" width="14.25" style="4" bestFit="1" customWidth="1"/>
    <col min="9" max="9" width="9.625" style="4" bestFit="1" customWidth="1"/>
    <col min="10" max="10" width="11.375" style="4" bestFit="1" customWidth="1"/>
    <col min="11" max="17" width="7" style="4" customWidth="1"/>
    <col min="18" max="25" width="6.375" style="3" customWidth="1"/>
    <col min="26" max="16384" width="9" style="3"/>
  </cols>
  <sheetData>
    <row r="1" spans="1:25" x14ac:dyDescent="0.25">
      <c r="A1" s="1" t="s">
        <v>0</v>
      </c>
      <c r="B1" s="1" t="s">
        <v>190</v>
      </c>
      <c r="C1" s="2" t="s">
        <v>205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0" t="s">
        <v>191</v>
      </c>
      <c r="L1" s="20" t="s">
        <v>192</v>
      </c>
      <c r="M1" s="20" t="s">
        <v>193</v>
      </c>
      <c r="N1" s="20" t="s">
        <v>194</v>
      </c>
      <c r="O1" s="20" t="s">
        <v>195</v>
      </c>
      <c r="P1" s="20" t="s">
        <v>196</v>
      </c>
      <c r="Q1" s="20" t="s">
        <v>197</v>
      </c>
      <c r="R1" s="5">
        <v>0</v>
      </c>
      <c r="S1" s="5">
        <v>5</v>
      </c>
      <c r="T1" s="5">
        <v>20</v>
      </c>
      <c r="U1" s="5"/>
      <c r="V1" s="5">
        <v>25</v>
      </c>
      <c r="W1" s="5">
        <v>40</v>
      </c>
      <c r="X1" s="5">
        <v>80</v>
      </c>
      <c r="Y1" s="5">
        <v>100</v>
      </c>
    </row>
    <row r="2" spans="1:25" x14ac:dyDescent="0.25">
      <c r="A2" s="1" t="s">
        <v>1</v>
      </c>
      <c r="B2" s="3" t="s">
        <v>31</v>
      </c>
      <c r="C2" s="21">
        <v>4.3</v>
      </c>
      <c r="D2" s="10" t="s">
        <v>20</v>
      </c>
      <c r="E2" s="11">
        <v>3.5</v>
      </c>
      <c r="F2" s="11" t="s">
        <v>18</v>
      </c>
      <c r="G2" s="11">
        <v>4.5</v>
      </c>
      <c r="H2" s="11">
        <v>4.5</v>
      </c>
      <c r="I2" s="11" t="s">
        <v>17</v>
      </c>
      <c r="J2" s="11" t="s">
        <v>17</v>
      </c>
      <c r="K2" s="18"/>
      <c r="L2" s="18"/>
      <c r="M2" s="18"/>
      <c r="N2" s="18"/>
      <c r="O2" s="18"/>
      <c r="P2" s="18"/>
      <c r="Q2" s="18"/>
      <c r="R2" s="4">
        <v>0</v>
      </c>
      <c r="S2" s="6">
        <v>38.066265943410059</v>
      </c>
      <c r="T2" s="6">
        <v>53.326125201583352</v>
      </c>
      <c r="U2" s="6"/>
      <c r="V2" s="6">
        <v>53.96</v>
      </c>
      <c r="W2" s="6">
        <v>92.12</v>
      </c>
      <c r="X2" s="6">
        <v>100</v>
      </c>
      <c r="Y2" s="6">
        <v>100</v>
      </c>
    </row>
    <row r="3" spans="1:25" x14ac:dyDescent="0.25">
      <c r="A3" s="1" t="s">
        <v>1</v>
      </c>
      <c r="B3" s="3" t="s">
        <v>32</v>
      </c>
      <c r="C3" s="21">
        <v>6</v>
      </c>
      <c r="D3" s="10">
        <v>5.5</v>
      </c>
      <c r="E3" s="11">
        <v>3.5</v>
      </c>
      <c r="F3" s="11" t="s">
        <v>18</v>
      </c>
      <c r="G3" s="11">
        <v>4.5</v>
      </c>
      <c r="H3" s="11">
        <v>4.5</v>
      </c>
      <c r="I3" s="11" t="s">
        <v>17</v>
      </c>
      <c r="J3" s="11" t="s">
        <v>19</v>
      </c>
      <c r="K3" s="18"/>
      <c r="L3" s="18"/>
      <c r="M3" s="18"/>
      <c r="N3" s="18"/>
      <c r="O3" s="18"/>
      <c r="P3" s="18"/>
      <c r="Q3" s="18"/>
      <c r="R3" s="4">
        <v>0</v>
      </c>
      <c r="S3" s="6">
        <v>35.222479653062436</v>
      </c>
      <c r="T3" s="6">
        <v>60.449711875482684</v>
      </c>
      <c r="U3" s="6"/>
      <c r="V3" s="6">
        <v>45.86</v>
      </c>
      <c r="W3" s="6">
        <v>81.17</v>
      </c>
      <c r="X3" s="6">
        <v>100</v>
      </c>
      <c r="Y3" s="6">
        <v>100</v>
      </c>
    </row>
    <row r="4" spans="1:25" x14ac:dyDescent="0.25">
      <c r="A4" s="1" t="s">
        <v>1</v>
      </c>
      <c r="B4" s="3" t="s">
        <v>33</v>
      </c>
      <c r="C4" s="21">
        <v>4.4000000000000004</v>
      </c>
      <c r="D4" s="10" t="s">
        <v>22</v>
      </c>
      <c r="E4" s="11" t="s">
        <v>17</v>
      </c>
      <c r="F4" s="11" t="s">
        <v>17</v>
      </c>
      <c r="G4" s="11">
        <v>4.5</v>
      </c>
      <c r="H4" s="11">
        <v>4.5</v>
      </c>
      <c r="I4" s="11" t="s">
        <v>17</v>
      </c>
      <c r="J4" s="11" t="s">
        <v>17</v>
      </c>
      <c r="K4" s="18"/>
      <c r="L4" s="18"/>
      <c r="M4" s="18"/>
      <c r="N4" s="18"/>
      <c r="O4" s="18"/>
      <c r="P4" s="18"/>
      <c r="Q4" s="18"/>
      <c r="R4" s="4">
        <v>0</v>
      </c>
      <c r="S4" s="6">
        <v>35.15909114456521</v>
      </c>
      <c r="T4" s="6">
        <v>47.726825326108354</v>
      </c>
      <c r="U4" s="6"/>
      <c r="V4" s="6">
        <v>42.58</v>
      </c>
      <c r="W4" s="6">
        <v>81.45</v>
      </c>
      <c r="X4" s="6">
        <v>100</v>
      </c>
      <c r="Y4" s="6">
        <v>100</v>
      </c>
    </row>
    <row r="5" spans="1:25" x14ac:dyDescent="0.25">
      <c r="A5" s="1" t="s">
        <v>1</v>
      </c>
      <c r="B5" s="3" t="s">
        <v>34</v>
      </c>
      <c r="C5" s="21">
        <v>1.8</v>
      </c>
      <c r="D5" s="10" t="s">
        <v>18</v>
      </c>
      <c r="E5" s="11" t="s">
        <v>18</v>
      </c>
      <c r="F5" s="11">
        <v>2.5</v>
      </c>
      <c r="G5" s="11" t="s">
        <v>17</v>
      </c>
      <c r="H5" s="11" t="s">
        <v>17</v>
      </c>
      <c r="I5" s="11" t="s">
        <v>17</v>
      </c>
      <c r="J5" s="11">
        <v>4.5</v>
      </c>
      <c r="K5" s="18"/>
      <c r="L5" s="18"/>
      <c r="M5" s="18"/>
      <c r="N5" s="18"/>
      <c r="O5" s="18"/>
      <c r="P5" s="18"/>
      <c r="Q5" s="18"/>
      <c r="R5" s="4">
        <v>0</v>
      </c>
      <c r="S5" s="6">
        <v>39.355384081844988</v>
      </c>
      <c r="T5" s="6">
        <v>66.234610716143578</v>
      </c>
      <c r="U5" s="6"/>
      <c r="V5" s="6">
        <v>54.86</v>
      </c>
      <c r="W5" s="6">
        <v>86.25</v>
      </c>
      <c r="X5" s="6">
        <v>100</v>
      </c>
      <c r="Y5" s="6">
        <v>100</v>
      </c>
    </row>
    <row r="6" spans="1:25" x14ac:dyDescent="0.25">
      <c r="A6" s="1" t="s">
        <v>1</v>
      </c>
      <c r="B6" s="3" t="s">
        <v>35</v>
      </c>
      <c r="C6" s="21">
        <v>2.2000000000000002</v>
      </c>
      <c r="D6" s="10">
        <v>4.5</v>
      </c>
      <c r="E6" s="11">
        <v>3.5</v>
      </c>
      <c r="F6" s="11">
        <v>3.5</v>
      </c>
      <c r="G6" s="11" t="s">
        <v>17</v>
      </c>
      <c r="H6" s="11" t="s">
        <v>17</v>
      </c>
      <c r="I6" s="11" t="s">
        <v>18</v>
      </c>
      <c r="J6" s="11">
        <v>4.5</v>
      </c>
      <c r="K6" s="18"/>
      <c r="L6" s="18"/>
      <c r="M6" s="18"/>
      <c r="N6" s="18"/>
      <c r="O6" s="18"/>
      <c r="P6" s="18"/>
      <c r="Q6" s="18"/>
      <c r="R6" s="4">
        <v>0</v>
      </c>
      <c r="S6" s="6">
        <v>69.17465859900031</v>
      </c>
      <c r="T6" s="6">
        <v>72.740535240236298</v>
      </c>
      <c r="U6" s="6"/>
      <c r="V6" s="6">
        <v>38.85</v>
      </c>
      <c r="W6" s="6">
        <v>75.150000000000006</v>
      </c>
      <c r="X6" s="6">
        <v>100</v>
      </c>
      <c r="Y6" s="6">
        <v>100</v>
      </c>
    </row>
    <row r="7" spans="1:25" x14ac:dyDescent="0.25">
      <c r="A7" s="1" t="s">
        <v>1</v>
      </c>
      <c r="B7" s="3" t="s">
        <v>36</v>
      </c>
      <c r="C7" s="21">
        <v>2.5</v>
      </c>
      <c r="D7" s="10">
        <v>4.5</v>
      </c>
      <c r="E7" s="11">
        <v>3.5</v>
      </c>
      <c r="F7" s="11" t="s">
        <v>18</v>
      </c>
      <c r="G7" s="11" t="s">
        <v>17</v>
      </c>
      <c r="H7" s="11" t="s">
        <v>17</v>
      </c>
      <c r="I7" s="11">
        <v>3.5</v>
      </c>
      <c r="J7" s="11">
        <v>4.5</v>
      </c>
      <c r="K7" s="18"/>
      <c r="L7" s="18"/>
      <c r="M7" s="18"/>
      <c r="N7" s="18"/>
      <c r="O7" s="18"/>
      <c r="P7" s="18"/>
      <c r="Q7" s="18"/>
      <c r="R7" s="4">
        <v>0</v>
      </c>
      <c r="S7" s="6">
        <v>55.362691736763971</v>
      </c>
      <c r="T7" s="6">
        <v>67.346857991093515</v>
      </c>
      <c r="U7" s="6"/>
      <c r="V7" s="6">
        <v>50</v>
      </c>
      <c r="W7" s="6">
        <v>82.57</v>
      </c>
      <c r="X7" s="6">
        <v>100</v>
      </c>
      <c r="Y7" s="6">
        <v>100</v>
      </c>
    </row>
    <row r="8" spans="1:25" x14ac:dyDescent="0.25">
      <c r="A8" s="1" t="s">
        <v>1</v>
      </c>
      <c r="B8" s="3" t="s">
        <v>37</v>
      </c>
      <c r="C8" s="22">
        <v>1.9</v>
      </c>
      <c r="D8" s="10">
        <v>5.5</v>
      </c>
      <c r="E8" s="11">
        <v>2.5</v>
      </c>
      <c r="F8" s="11" t="s">
        <v>18</v>
      </c>
      <c r="G8" s="11">
        <v>3.5</v>
      </c>
      <c r="H8" s="11" t="s">
        <v>18</v>
      </c>
      <c r="I8" s="11">
        <v>2.5</v>
      </c>
      <c r="J8" s="11" t="s">
        <v>19</v>
      </c>
      <c r="K8" s="18"/>
      <c r="L8" s="18"/>
      <c r="M8" s="18"/>
      <c r="N8" s="18"/>
      <c r="O8" s="18"/>
      <c r="P8" s="18"/>
      <c r="Q8" s="18"/>
      <c r="R8" s="7">
        <v>0</v>
      </c>
      <c r="S8" s="8">
        <v>61.042303520362886</v>
      </c>
      <c r="T8" s="8">
        <v>72.935607928212221</v>
      </c>
      <c r="U8" s="8"/>
      <c r="V8" s="8">
        <v>49.06</v>
      </c>
      <c r="W8" s="8">
        <v>83.73</v>
      </c>
      <c r="X8" s="8">
        <v>100</v>
      </c>
      <c r="Y8" s="8">
        <v>100</v>
      </c>
    </row>
    <row r="9" spans="1:25" x14ac:dyDescent="0.25">
      <c r="A9" s="1" t="s">
        <v>1</v>
      </c>
      <c r="B9" s="3" t="s">
        <v>38</v>
      </c>
      <c r="C9" s="21">
        <v>2.2000000000000002</v>
      </c>
      <c r="D9" s="10" t="s">
        <v>22</v>
      </c>
      <c r="E9" s="11">
        <v>3.5</v>
      </c>
      <c r="F9" s="11">
        <v>3.5</v>
      </c>
      <c r="G9" s="11" t="s">
        <v>17</v>
      </c>
      <c r="H9" s="11" t="s">
        <v>17</v>
      </c>
      <c r="I9" s="11">
        <v>3.5</v>
      </c>
      <c r="J9" s="11" t="s">
        <v>21</v>
      </c>
      <c r="K9" s="18"/>
      <c r="L9" s="18"/>
      <c r="M9" s="18"/>
      <c r="N9" s="18"/>
      <c r="O9" s="18"/>
      <c r="P9" s="18"/>
      <c r="Q9" s="18"/>
      <c r="R9" s="4">
        <v>0</v>
      </c>
      <c r="S9" s="6">
        <v>64.587216815525537</v>
      </c>
      <c r="T9" s="6">
        <v>75.641274887641103</v>
      </c>
      <c r="U9" s="6"/>
      <c r="V9" s="6">
        <v>32.93</v>
      </c>
      <c r="W9" s="6">
        <v>68.38</v>
      </c>
      <c r="X9" s="6">
        <v>100</v>
      </c>
      <c r="Y9" s="6">
        <v>100</v>
      </c>
    </row>
    <row r="10" spans="1:25" x14ac:dyDescent="0.25">
      <c r="A10" s="1" t="s">
        <v>1</v>
      </c>
      <c r="B10" s="3" t="s">
        <v>39</v>
      </c>
      <c r="C10" s="21">
        <v>3.8</v>
      </c>
      <c r="D10" s="10">
        <v>5.5</v>
      </c>
      <c r="E10" s="11" t="s">
        <v>17</v>
      </c>
      <c r="F10" s="11" t="s">
        <v>18</v>
      </c>
      <c r="G10" s="11">
        <v>4.5</v>
      </c>
      <c r="H10" s="11">
        <v>4.5</v>
      </c>
      <c r="I10" s="11" t="s">
        <v>18</v>
      </c>
      <c r="J10" s="11">
        <v>2.5</v>
      </c>
      <c r="K10" s="18"/>
      <c r="L10" s="18"/>
      <c r="M10" s="18"/>
      <c r="N10" s="18"/>
      <c r="O10" s="18"/>
      <c r="P10" s="18"/>
      <c r="Q10" s="18"/>
      <c r="R10" s="4">
        <v>0</v>
      </c>
      <c r="S10" s="6">
        <v>63.952217751949533</v>
      </c>
      <c r="T10" s="6">
        <v>74.171757810559782</v>
      </c>
      <c r="U10" s="6"/>
      <c r="V10" s="6">
        <v>47</v>
      </c>
      <c r="W10" s="6">
        <v>84.52</v>
      </c>
      <c r="X10" s="6">
        <v>100</v>
      </c>
      <c r="Y10" s="6">
        <v>100</v>
      </c>
    </row>
    <row r="11" spans="1:25" x14ac:dyDescent="0.25">
      <c r="A11" s="1" t="s">
        <v>1</v>
      </c>
      <c r="B11" s="3" t="s">
        <v>40</v>
      </c>
      <c r="C11" s="21">
        <v>1.9</v>
      </c>
      <c r="D11" s="10">
        <v>3.5</v>
      </c>
      <c r="E11" s="11">
        <v>3.5</v>
      </c>
      <c r="F11" s="11">
        <v>2.5</v>
      </c>
      <c r="G11" s="11" t="s">
        <v>17</v>
      </c>
      <c r="H11" s="11" t="s">
        <v>17</v>
      </c>
      <c r="I11" s="11" t="s">
        <v>17</v>
      </c>
      <c r="J11" s="11" t="s">
        <v>19</v>
      </c>
      <c r="K11" s="18"/>
      <c r="L11" s="18"/>
      <c r="M11" s="18"/>
      <c r="N11" s="18"/>
      <c r="O11" s="18"/>
      <c r="P11" s="18"/>
      <c r="Q11" s="18"/>
      <c r="R11" s="7">
        <v>0</v>
      </c>
      <c r="S11" s="8">
        <v>79.407506222648806</v>
      </c>
      <c r="T11" s="8">
        <v>84.979583204542138</v>
      </c>
      <c r="U11" s="8"/>
      <c r="V11" s="8">
        <v>54.82</v>
      </c>
      <c r="W11" s="8">
        <v>87.07</v>
      </c>
      <c r="X11" s="8">
        <v>100</v>
      </c>
      <c r="Y11" s="8">
        <v>100</v>
      </c>
    </row>
    <row r="12" spans="1:25" x14ac:dyDescent="0.25">
      <c r="A12" s="1" t="s">
        <v>1</v>
      </c>
      <c r="B12" s="3" t="s">
        <v>41</v>
      </c>
      <c r="C12" s="21">
        <v>4</v>
      </c>
      <c r="D12" s="10" t="s">
        <v>17</v>
      </c>
      <c r="E12" s="11">
        <v>3.5</v>
      </c>
      <c r="F12" s="11">
        <v>3.5</v>
      </c>
      <c r="G12" s="11">
        <v>4.5</v>
      </c>
      <c r="H12" s="11">
        <v>4.5</v>
      </c>
      <c r="I12" s="11">
        <v>3.5</v>
      </c>
      <c r="J12" s="11" t="s">
        <v>18</v>
      </c>
      <c r="K12" s="18"/>
      <c r="L12" s="18"/>
      <c r="M12" s="18"/>
      <c r="N12" s="18"/>
      <c r="O12" s="18"/>
      <c r="P12" s="18"/>
      <c r="Q12" s="18"/>
      <c r="R12" s="4">
        <v>0</v>
      </c>
      <c r="S12" s="6">
        <v>67.604991600671937</v>
      </c>
      <c r="T12" s="6">
        <v>81.381489480841523</v>
      </c>
      <c r="U12" s="6"/>
      <c r="V12" s="6">
        <v>54.25</v>
      </c>
      <c r="W12" s="6">
        <v>86.48</v>
      </c>
      <c r="X12" s="6">
        <v>100</v>
      </c>
      <c r="Y12" s="6">
        <v>100</v>
      </c>
    </row>
    <row r="13" spans="1:25" x14ac:dyDescent="0.25">
      <c r="A13" s="1" t="s">
        <v>1</v>
      </c>
      <c r="B13" s="3" t="s">
        <v>42</v>
      </c>
      <c r="C13" s="22">
        <v>10</v>
      </c>
      <c r="D13" s="10" t="s">
        <v>17</v>
      </c>
      <c r="E13" s="11" t="s">
        <v>17</v>
      </c>
      <c r="F13" s="11">
        <v>3.5</v>
      </c>
      <c r="G13" s="11" t="s">
        <v>18</v>
      </c>
      <c r="H13" s="11" t="s">
        <v>18</v>
      </c>
      <c r="I13" s="11" t="s">
        <v>18</v>
      </c>
      <c r="J13" s="11" t="s">
        <v>17</v>
      </c>
      <c r="K13" s="18"/>
      <c r="L13" s="18"/>
      <c r="M13" s="18"/>
      <c r="N13" s="18"/>
      <c r="O13" s="18"/>
      <c r="P13" s="18"/>
      <c r="Q13" s="18"/>
      <c r="R13" s="7">
        <v>0</v>
      </c>
      <c r="S13" s="8">
        <v>35.410884755437458</v>
      </c>
      <c r="T13" s="8">
        <v>56.908768821966341</v>
      </c>
      <c r="U13" s="8"/>
      <c r="V13" s="8">
        <v>39.979999999999997</v>
      </c>
      <c r="W13" s="8">
        <v>75.430000000000007</v>
      </c>
      <c r="X13" s="8">
        <v>100</v>
      </c>
      <c r="Y13" s="8">
        <v>100</v>
      </c>
    </row>
    <row r="14" spans="1:25" x14ac:dyDescent="0.25">
      <c r="A14" s="1" t="s">
        <v>2</v>
      </c>
      <c r="B14" s="3" t="s">
        <v>43</v>
      </c>
      <c r="C14" s="21">
        <v>2.5</v>
      </c>
      <c r="D14" s="10" t="s">
        <v>22</v>
      </c>
      <c r="E14" s="11" t="s">
        <v>17</v>
      </c>
      <c r="F14" s="11" t="s">
        <v>17</v>
      </c>
      <c r="G14" s="11">
        <v>4.5</v>
      </c>
      <c r="H14" s="11">
        <v>4.5</v>
      </c>
      <c r="I14" s="11" t="s">
        <v>17</v>
      </c>
      <c r="J14" s="11">
        <v>3.5</v>
      </c>
      <c r="K14" s="18"/>
      <c r="L14" s="18"/>
      <c r="M14" s="18"/>
      <c r="N14" s="18"/>
      <c r="O14" s="18"/>
      <c r="P14" s="18"/>
      <c r="Q14" s="18"/>
      <c r="R14" s="4">
        <v>0</v>
      </c>
      <c r="S14" s="6">
        <v>61.697195012427166</v>
      </c>
      <c r="T14" s="6">
        <v>71.465569456337846</v>
      </c>
      <c r="U14" s="6"/>
      <c r="V14" s="6">
        <v>40.64</v>
      </c>
      <c r="W14" s="6">
        <v>81.28</v>
      </c>
      <c r="X14" s="6">
        <v>100</v>
      </c>
      <c r="Y14" s="6">
        <v>100</v>
      </c>
    </row>
    <row r="15" spans="1:25" x14ac:dyDescent="0.25">
      <c r="A15" s="1" t="s">
        <v>2</v>
      </c>
      <c r="B15" s="3" t="s">
        <v>44</v>
      </c>
      <c r="C15" s="21">
        <v>2.6</v>
      </c>
      <c r="D15" s="10" t="s">
        <v>20</v>
      </c>
      <c r="E15" s="11">
        <v>3.5</v>
      </c>
      <c r="F15" s="11" t="s">
        <v>18</v>
      </c>
      <c r="G15" s="11" t="s">
        <v>17</v>
      </c>
      <c r="H15" s="11" t="s">
        <v>17</v>
      </c>
      <c r="I15" s="11" t="s">
        <v>17</v>
      </c>
      <c r="J15" s="11" t="s">
        <v>17</v>
      </c>
      <c r="K15" s="18"/>
      <c r="L15" s="18"/>
      <c r="M15" s="18"/>
      <c r="N15" s="18"/>
      <c r="O15" s="18"/>
      <c r="P15" s="18"/>
      <c r="Q15" s="18"/>
      <c r="R15" s="4">
        <v>0</v>
      </c>
      <c r="S15" s="6">
        <v>56.467445440550577</v>
      </c>
      <c r="T15" s="6">
        <v>70.325998370008151</v>
      </c>
      <c r="U15" s="6"/>
      <c r="V15" s="6">
        <v>35.11</v>
      </c>
      <c r="W15" s="6">
        <v>73.599999999999994</v>
      </c>
      <c r="X15" s="6">
        <v>100</v>
      </c>
      <c r="Y15" s="6">
        <v>100</v>
      </c>
    </row>
    <row r="16" spans="1:25" x14ac:dyDescent="0.25">
      <c r="A16" s="1" t="s">
        <v>2</v>
      </c>
      <c r="B16" s="3" t="s">
        <v>45</v>
      </c>
      <c r="C16" s="21">
        <v>2.2000000000000002</v>
      </c>
      <c r="D16" s="10">
        <v>4.5</v>
      </c>
      <c r="E16" s="11">
        <v>3.5</v>
      </c>
      <c r="F16" s="11">
        <v>2.5</v>
      </c>
      <c r="G16" s="11">
        <v>3.5</v>
      </c>
      <c r="H16" s="11">
        <v>3.5</v>
      </c>
      <c r="I16" s="11">
        <v>3.5</v>
      </c>
      <c r="J16" s="11">
        <v>4.5</v>
      </c>
      <c r="K16" s="18"/>
      <c r="L16" s="18"/>
      <c r="M16" s="18"/>
      <c r="N16" s="18"/>
      <c r="O16" s="18"/>
      <c r="P16" s="18"/>
      <c r="Q16" s="18"/>
      <c r="R16" s="4">
        <v>0</v>
      </c>
      <c r="S16" s="6">
        <v>46.913769751693003</v>
      </c>
      <c r="T16" s="6">
        <v>55.444695259593679</v>
      </c>
      <c r="U16" s="6"/>
      <c r="V16" s="6">
        <v>46.27</v>
      </c>
      <c r="W16" s="6">
        <v>82.65</v>
      </c>
      <c r="X16" s="6">
        <v>100</v>
      </c>
      <c r="Y16" s="6">
        <v>100</v>
      </c>
    </row>
    <row r="17" spans="1:25" x14ac:dyDescent="0.25">
      <c r="A17" s="1" t="s">
        <v>2</v>
      </c>
      <c r="B17" s="3" t="s">
        <v>46</v>
      </c>
      <c r="C17" s="21">
        <v>3.6</v>
      </c>
      <c r="D17" s="10" t="s">
        <v>17</v>
      </c>
      <c r="E17" s="11">
        <v>3.5</v>
      </c>
      <c r="F17" s="11" t="s">
        <v>18</v>
      </c>
      <c r="G17" s="11">
        <v>3.5</v>
      </c>
      <c r="H17" s="11">
        <v>3.5</v>
      </c>
      <c r="I17" s="11" t="s">
        <v>17</v>
      </c>
      <c r="J17" s="11">
        <v>3.5</v>
      </c>
      <c r="K17" s="18"/>
      <c r="L17" s="18"/>
      <c r="M17" s="18"/>
      <c r="N17" s="18"/>
      <c r="O17" s="18"/>
      <c r="P17" s="18"/>
      <c r="Q17" s="18"/>
      <c r="R17" s="4">
        <v>0</v>
      </c>
      <c r="S17" s="6">
        <v>58.546547283208639</v>
      </c>
      <c r="T17" s="6">
        <v>65.58444744265914</v>
      </c>
      <c r="U17" s="6"/>
      <c r="V17" s="6">
        <v>46.13</v>
      </c>
      <c r="W17" s="6">
        <v>83.76</v>
      </c>
      <c r="X17" s="6">
        <v>100</v>
      </c>
      <c r="Y17" s="6">
        <v>100</v>
      </c>
    </row>
    <row r="18" spans="1:25" x14ac:dyDescent="0.25">
      <c r="A18" s="1" t="s">
        <v>3</v>
      </c>
      <c r="B18" s="3" t="s">
        <v>47</v>
      </c>
      <c r="C18" s="21">
        <v>4.2</v>
      </c>
      <c r="D18" s="10">
        <v>6.5</v>
      </c>
      <c r="E18" s="11" t="s">
        <v>17</v>
      </c>
      <c r="F18" s="11" t="s">
        <v>17</v>
      </c>
      <c r="G18" s="11">
        <v>4.5</v>
      </c>
      <c r="H18" s="11">
        <v>4.5</v>
      </c>
      <c r="I18" s="11" t="s">
        <v>17</v>
      </c>
      <c r="J18" s="11">
        <v>4.5</v>
      </c>
      <c r="K18" s="16">
        <v>4.5</v>
      </c>
      <c r="L18" s="16">
        <v>4.5</v>
      </c>
      <c r="M18" s="16">
        <v>4.5</v>
      </c>
      <c r="N18" s="16">
        <v>4.5</v>
      </c>
      <c r="O18" s="16">
        <v>4.5</v>
      </c>
      <c r="P18" s="16" t="s">
        <v>201</v>
      </c>
      <c r="Q18" s="16" t="s">
        <v>201</v>
      </c>
      <c r="R18" s="4">
        <v>0</v>
      </c>
      <c r="S18" s="6">
        <v>45.534300000000002</v>
      </c>
      <c r="T18" s="6">
        <v>57.247100000000003</v>
      </c>
      <c r="U18" s="6"/>
      <c r="V18" s="6">
        <v>33.909999999999997</v>
      </c>
      <c r="W18" s="6">
        <v>88.817499999999995</v>
      </c>
      <c r="X18" s="6">
        <v>100</v>
      </c>
      <c r="Y18" s="6">
        <v>100</v>
      </c>
    </row>
    <row r="19" spans="1:25" x14ac:dyDescent="0.25">
      <c r="A19" s="1" t="s">
        <v>3</v>
      </c>
      <c r="B19" s="3" t="s">
        <v>48</v>
      </c>
      <c r="C19" s="21">
        <v>3.4</v>
      </c>
      <c r="D19" s="10" t="s">
        <v>17</v>
      </c>
      <c r="E19" s="11" t="s">
        <v>18</v>
      </c>
      <c r="F19" s="11">
        <v>2.5</v>
      </c>
      <c r="G19" s="11">
        <v>4.5</v>
      </c>
      <c r="H19" s="11">
        <v>4.5</v>
      </c>
      <c r="I19" s="11" t="s">
        <v>17</v>
      </c>
      <c r="J19" s="11" t="s">
        <v>17</v>
      </c>
      <c r="K19" s="16">
        <v>4.5</v>
      </c>
      <c r="L19" s="16">
        <v>4.5</v>
      </c>
      <c r="M19" s="16">
        <v>4.5</v>
      </c>
      <c r="N19" s="16">
        <v>4.5</v>
      </c>
      <c r="O19" s="16">
        <v>4.5</v>
      </c>
      <c r="P19" s="16" t="s">
        <v>201</v>
      </c>
      <c r="Q19" s="16" t="s">
        <v>201</v>
      </c>
      <c r="R19" s="4">
        <v>0</v>
      </c>
      <c r="S19" s="6">
        <v>38.787199999999999</v>
      </c>
      <c r="T19" s="6">
        <v>48.764400000000002</v>
      </c>
      <c r="U19" s="6"/>
      <c r="V19" s="6">
        <v>52.94</v>
      </c>
      <c r="W19" s="6">
        <v>88.234999999999999</v>
      </c>
      <c r="X19" s="6">
        <v>100</v>
      </c>
      <c r="Y19" s="6">
        <v>100</v>
      </c>
    </row>
    <row r="20" spans="1:25" x14ac:dyDescent="0.25">
      <c r="A20" s="1" t="s">
        <v>3</v>
      </c>
      <c r="B20" s="3" t="s">
        <v>49</v>
      </c>
      <c r="C20" s="21">
        <v>3.6</v>
      </c>
      <c r="D20" s="10" t="s">
        <v>20</v>
      </c>
      <c r="E20" s="11">
        <v>4.5</v>
      </c>
      <c r="F20" s="11" t="s">
        <v>17</v>
      </c>
      <c r="G20" s="11" t="s">
        <v>17</v>
      </c>
      <c r="H20" s="11" t="s">
        <v>17</v>
      </c>
      <c r="I20" s="11" t="s">
        <v>18</v>
      </c>
      <c r="J20" s="11">
        <v>2.5</v>
      </c>
      <c r="K20" s="16">
        <v>4.5</v>
      </c>
      <c r="L20" s="16">
        <v>4.5</v>
      </c>
      <c r="M20" s="16">
        <v>4.5</v>
      </c>
      <c r="N20" s="16" t="s">
        <v>201</v>
      </c>
      <c r="O20" s="16">
        <v>3.5</v>
      </c>
      <c r="P20" s="16">
        <v>3.5</v>
      </c>
      <c r="Q20" s="16">
        <v>3.5</v>
      </c>
      <c r="R20" s="4">
        <v>0</v>
      </c>
      <c r="S20" s="6">
        <v>51.4009</v>
      </c>
      <c r="T20" s="6">
        <v>64.622699999999995</v>
      </c>
      <c r="U20" s="6"/>
      <c r="V20" s="6">
        <v>52.84</v>
      </c>
      <c r="W20" s="6">
        <v>88.21</v>
      </c>
      <c r="X20" s="6">
        <v>100</v>
      </c>
      <c r="Y20" s="6">
        <v>100</v>
      </c>
    </row>
    <row r="21" spans="1:25" x14ac:dyDescent="0.25">
      <c r="A21" s="1" t="s">
        <v>3</v>
      </c>
      <c r="B21" s="3" t="s">
        <v>50</v>
      </c>
      <c r="C21" s="23">
        <v>2</v>
      </c>
      <c r="D21" s="10" t="s">
        <v>22</v>
      </c>
      <c r="E21" s="11">
        <v>4.5</v>
      </c>
      <c r="F21" s="11">
        <v>3.5</v>
      </c>
      <c r="G21" s="11">
        <v>3.5</v>
      </c>
      <c r="H21" s="11" t="s">
        <v>18</v>
      </c>
      <c r="I21" s="11" t="s">
        <v>19</v>
      </c>
      <c r="J21" s="11">
        <v>2.5</v>
      </c>
      <c r="K21" s="16">
        <v>4.5</v>
      </c>
      <c r="L21" s="16">
        <v>4.5</v>
      </c>
      <c r="M21" s="16">
        <v>4.5</v>
      </c>
      <c r="N21" s="16" t="s">
        <v>201</v>
      </c>
      <c r="O21" s="16">
        <v>3.5</v>
      </c>
      <c r="P21" s="16" t="s">
        <v>202</v>
      </c>
      <c r="Q21" s="16">
        <v>2.5</v>
      </c>
      <c r="R21" s="4">
        <v>0</v>
      </c>
      <c r="S21" s="6">
        <v>61.559600000000003</v>
      </c>
      <c r="T21" s="6">
        <v>77.394499999999994</v>
      </c>
      <c r="U21" s="6"/>
      <c r="V21" s="6">
        <v>47.15</v>
      </c>
      <c r="W21" s="6">
        <v>86.787499999999994</v>
      </c>
      <c r="X21" s="6">
        <v>100</v>
      </c>
      <c r="Y21" s="6">
        <v>100</v>
      </c>
    </row>
    <row r="22" spans="1:25" x14ac:dyDescent="0.25">
      <c r="A22" s="1" t="s">
        <v>3</v>
      </c>
      <c r="B22" s="3" t="s">
        <v>51</v>
      </c>
      <c r="C22" s="23">
        <v>2.4</v>
      </c>
      <c r="D22" s="10">
        <v>5.5</v>
      </c>
      <c r="E22" s="11">
        <v>3.5</v>
      </c>
      <c r="F22" s="11" t="s">
        <v>18</v>
      </c>
      <c r="G22" s="11" t="s">
        <v>17</v>
      </c>
      <c r="H22" s="11">
        <v>3.5</v>
      </c>
      <c r="I22" s="11" t="s">
        <v>18</v>
      </c>
      <c r="J22" s="11" t="s">
        <v>18</v>
      </c>
      <c r="K22" s="16">
        <v>4.5</v>
      </c>
      <c r="L22" s="16" t="s">
        <v>201</v>
      </c>
      <c r="M22" s="16" t="s">
        <v>201</v>
      </c>
      <c r="N22" s="16">
        <v>3.5</v>
      </c>
      <c r="O22" s="16">
        <v>3.5</v>
      </c>
      <c r="P22" s="16" t="s">
        <v>202</v>
      </c>
      <c r="Q22" s="16" t="s">
        <v>202</v>
      </c>
      <c r="R22" s="4">
        <v>0</v>
      </c>
      <c r="S22" s="6">
        <v>33.067</v>
      </c>
      <c r="T22" s="6">
        <v>36.189</v>
      </c>
      <c r="U22" s="6"/>
      <c r="V22" s="6">
        <v>36.729999999999997</v>
      </c>
      <c r="W22" s="6">
        <v>77.48</v>
      </c>
      <c r="X22" s="6">
        <v>100</v>
      </c>
      <c r="Y22" s="6">
        <v>100</v>
      </c>
    </row>
    <row r="23" spans="1:25" x14ac:dyDescent="0.25">
      <c r="A23" s="1" t="s">
        <v>14</v>
      </c>
      <c r="B23" s="3" t="s">
        <v>52</v>
      </c>
      <c r="C23" s="21">
        <v>3.5</v>
      </c>
      <c r="D23" s="10">
        <v>6.5</v>
      </c>
      <c r="E23" s="11" t="s">
        <v>17</v>
      </c>
      <c r="F23" s="11" t="s">
        <v>17</v>
      </c>
      <c r="G23" s="11">
        <v>4.5</v>
      </c>
      <c r="H23" s="11" t="s">
        <v>17</v>
      </c>
      <c r="I23" s="11" t="s">
        <v>17</v>
      </c>
      <c r="J23" s="11">
        <v>4.5</v>
      </c>
      <c r="K23" s="16">
        <v>4.5</v>
      </c>
      <c r="L23" s="16">
        <v>4.5</v>
      </c>
      <c r="M23" s="16">
        <v>4.5</v>
      </c>
      <c r="N23" s="16">
        <v>4.5</v>
      </c>
      <c r="O23" s="16">
        <v>4.5</v>
      </c>
      <c r="P23" s="16" t="s">
        <v>201</v>
      </c>
      <c r="Q23" s="16" t="s">
        <v>201</v>
      </c>
      <c r="R23" s="4">
        <v>0</v>
      </c>
      <c r="S23" s="6">
        <v>45.043399999999998</v>
      </c>
      <c r="T23" s="6">
        <v>56.629899999999999</v>
      </c>
      <c r="U23" s="6"/>
      <c r="V23" s="6">
        <v>38.119999999999997</v>
      </c>
      <c r="W23" s="6">
        <v>84.53</v>
      </c>
      <c r="X23" s="6">
        <v>100</v>
      </c>
      <c r="Y23" s="6">
        <v>100</v>
      </c>
    </row>
    <row r="24" spans="1:25" x14ac:dyDescent="0.25">
      <c r="A24" s="1" t="s">
        <v>14</v>
      </c>
      <c r="B24" s="3" t="s">
        <v>53</v>
      </c>
      <c r="C24" s="21">
        <v>2.2000000000000002</v>
      </c>
      <c r="D24" s="10">
        <v>4.5</v>
      </c>
      <c r="E24" s="11">
        <v>3.5</v>
      </c>
      <c r="F24" s="11">
        <v>2.5</v>
      </c>
      <c r="G24" s="11">
        <v>4.5</v>
      </c>
      <c r="H24" s="11">
        <v>4.5</v>
      </c>
      <c r="I24" s="11" t="s">
        <v>17</v>
      </c>
      <c r="J24" s="11">
        <v>4.5</v>
      </c>
      <c r="K24" s="16">
        <v>4.5</v>
      </c>
      <c r="L24" s="16">
        <v>4.5</v>
      </c>
      <c r="M24" s="16">
        <v>4.5</v>
      </c>
      <c r="N24" s="16">
        <v>4.5</v>
      </c>
      <c r="O24" s="16">
        <v>4.5</v>
      </c>
      <c r="P24" s="16">
        <v>4.5</v>
      </c>
      <c r="Q24" s="16">
        <v>4.5</v>
      </c>
      <c r="R24" s="4">
        <v>0</v>
      </c>
      <c r="S24" s="6">
        <v>36.441800000000001</v>
      </c>
      <c r="T24" s="6">
        <v>45.8157</v>
      </c>
      <c r="U24" s="6"/>
      <c r="V24" s="6">
        <v>53.81</v>
      </c>
      <c r="W24" s="6">
        <v>88.452500000000001</v>
      </c>
      <c r="X24" s="6">
        <v>100</v>
      </c>
      <c r="Y24" s="6">
        <v>100</v>
      </c>
    </row>
    <row r="25" spans="1:25" x14ac:dyDescent="0.25">
      <c r="A25" s="1" t="s">
        <v>14</v>
      </c>
      <c r="B25" s="3" t="s">
        <v>54</v>
      </c>
      <c r="C25" s="21">
        <v>1.7</v>
      </c>
      <c r="D25" s="10" t="s">
        <v>20</v>
      </c>
      <c r="E25" s="11" t="s">
        <v>17</v>
      </c>
      <c r="F25" s="11" t="s">
        <v>18</v>
      </c>
      <c r="G25" s="11">
        <v>4.5</v>
      </c>
      <c r="H25" s="11">
        <v>4.5</v>
      </c>
      <c r="I25" s="11" t="s">
        <v>17</v>
      </c>
      <c r="J25" s="11">
        <v>2.5</v>
      </c>
      <c r="K25" s="16">
        <v>4.5</v>
      </c>
      <c r="L25" s="16" t="s">
        <v>201</v>
      </c>
      <c r="M25" s="16" t="s">
        <v>201</v>
      </c>
      <c r="N25" s="16">
        <v>3.5</v>
      </c>
      <c r="O25" s="16">
        <v>3.5</v>
      </c>
      <c r="P25" s="16" t="s">
        <v>202</v>
      </c>
      <c r="Q25" s="16">
        <v>2.5</v>
      </c>
      <c r="R25" s="4">
        <v>0</v>
      </c>
      <c r="S25" s="6">
        <v>54.305300000000003</v>
      </c>
      <c r="T25" s="6">
        <v>68.274299999999997</v>
      </c>
      <c r="U25" s="6"/>
      <c r="V25" s="6">
        <v>53.44</v>
      </c>
      <c r="W25" s="6">
        <v>88.36</v>
      </c>
      <c r="X25" s="6">
        <v>100</v>
      </c>
      <c r="Y25" s="6">
        <v>100</v>
      </c>
    </row>
    <row r="26" spans="1:25" x14ac:dyDescent="0.25">
      <c r="A26" s="1" t="s">
        <v>14</v>
      </c>
      <c r="B26" s="3" t="s">
        <v>55</v>
      </c>
      <c r="C26" s="21">
        <v>2</v>
      </c>
      <c r="D26" s="10" t="s">
        <v>20</v>
      </c>
      <c r="E26" s="11" t="s">
        <v>17</v>
      </c>
      <c r="F26" s="11" t="s">
        <v>18</v>
      </c>
      <c r="G26" s="11">
        <v>4.5</v>
      </c>
      <c r="H26" s="11">
        <v>4.5</v>
      </c>
      <c r="I26" s="11" t="s">
        <v>17</v>
      </c>
      <c r="J26" s="11">
        <v>3.5</v>
      </c>
      <c r="K26" s="16">
        <v>4.5</v>
      </c>
      <c r="L26" s="16" t="s">
        <v>201</v>
      </c>
      <c r="M26" s="16" t="s">
        <v>201</v>
      </c>
      <c r="N26" s="16" t="s">
        <v>201</v>
      </c>
      <c r="O26" s="16">
        <v>3.5</v>
      </c>
      <c r="P26" s="16" t="s">
        <v>202</v>
      </c>
      <c r="Q26" s="16" t="s">
        <v>202</v>
      </c>
      <c r="R26" s="4">
        <v>0</v>
      </c>
      <c r="S26" s="6">
        <v>37</v>
      </c>
      <c r="T26" s="6">
        <v>61</v>
      </c>
      <c r="U26" s="6"/>
      <c r="V26" s="6">
        <v>59</v>
      </c>
      <c r="W26" s="6">
        <v>87</v>
      </c>
      <c r="X26" s="6">
        <v>100</v>
      </c>
      <c r="Y26" s="6">
        <v>100</v>
      </c>
    </row>
    <row r="27" spans="1:25" x14ac:dyDescent="0.25">
      <c r="A27" s="1" t="s">
        <v>14</v>
      </c>
      <c r="B27" s="3" t="s">
        <v>56</v>
      </c>
      <c r="C27" s="23">
        <v>3.2</v>
      </c>
      <c r="D27" s="10" t="s">
        <v>17</v>
      </c>
      <c r="E27" s="11">
        <v>3.5</v>
      </c>
      <c r="F27" s="11" t="s">
        <v>18</v>
      </c>
      <c r="G27" s="11" t="s">
        <v>17</v>
      </c>
      <c r="H27" s="11" t="s">
        <v>17</v>
      </c>
      <c r="I27" s="11" t="s">
        <v>17</v>
      </c>
      <c r="J27" s="11">
        <v>3.5</v>
      </c>
      <c r="K27" s="16">
        <v>4.5</v>
      </c>
      <c r="L27" s="16">
        <v>4.5</v>
      </c>
      <c r="M27" s="16">
        <v>4.5</v>
      </c>
      <c r="N27" s="16">
        <v>4.5</v>
      </c>
      <c r="O27" s="16" t="s">
        <v>201</v>
      </c>
      <c r="P27" s="16" t="s">
        <v>201</v>
      </c>
      <c r="Q27" s="16" t="s">
        <v>201</v>
      </c>
      <c r="R27" s="4">
        <v>0</v>
      </c>
      <c r="S27" s="6">
        <v>46</v>
      </c>
      <c r="T27" s="6">
        <v>56</v>
      </c>
      <c r="U27" s="6"/>
      <c r="V27" s="6">
        <v>41.83</v>
      </c>
      <c r="W27" s="6">
        <v>85.457499999999996</v>
      </c>
      <c r="X27" s="6">
        <v>100</v>
      </c>
      <c r="Y27" s="6">
        <v>100</v>
      </c>
    </row>
    <row r="28" spans="1:25" x14ac:dyDescent="0.25">
      <c r="A28" s="1" t="s">
        <v>4</v>
      </c>
      <c r="B28" s="3" t="s">
        <v>57</v>
      </c>
      <c r="C28" s="21">
        <v>3.6</v>
      </c>
      <c r="D28" s="10">
        <v>6.5</v>
      </c>
      <c r="E28" s="11" t="s">
        <v>17</v>
      </c>
      <c r="F28" s="11" t="s">
        <v>17</v>
      </c>
      <c r="G28" s="11">
        <v>4.5</v>
      </c>
      <c r="H28" s="11">
        <v>4.5</v>
      </c>
      <c r="I28" s="11" t="s">
        <v>17</v>
      </c>
      <c r="J28" s="11">
        <v>4.5</v>
      </c>
      <c r="K28" s="16">
        <v>4.5</v>
      </c>
      <c r="L28" s="16">
        <v>4.5</v>
      </c>
      <c r="M28" s="16">
        <v>4.5</v>
      </c>
      <c r="N28" s="16">
        <v>4.5</v>
      </c>
      <c r="O28" s="16">
        <v>4.5</v>
      </c>
      <c r="P28" s="16" t="s">
        <v>201</v>
      </c>
      <c r="Q28" s="16" t="s">
        <v>201</v>
      </c>
      <c r="R28" s="4">
        <v>0</v>
      </c>
      <c r="S28" s="6">
        <v>45.534300000000002</v>
      </c>
      <c r="T28" s="6">
        <v>57.247100000000003</v>
      </c>
      <c r="U28" s="6"/>
      <c r="V28" s="6">
        <v>33.909999999999997</v>
      </c>
      <c r="W28" s="6">
        <v>88.817499999999995</v>
      </c>
      <c r="X28" s="6">
        <v>100</v>
      </c>
      <c r="Y28" s="6">
        <v>100</v>
      </c>
    </row>
    <row r="29" spans="1:25" x14ac:dyDescent="0.25">
      <c r="A29" s="1" t="s">
        <v>4</v>
      </c>
      <c r="B29" s="3" t="s">
        <v>58</v>
      </c>
      <c r="C29" s="21">
        <v>2.2000000000000002</v>
      </c>
      <c r="D29" s="10">
        <v>4.5</v>
      </c>
      <c r="E29" s="11">
        <v>3.5</v>
      </c>
      <c r="F29" s="11">
        <v>2.5</v>
      </c>
      <c r="G29" s="11" t="s">
        <v>17</v>
      </c>
      <c r="H29" s="11" t="s">
        <v>17</v>
      </c>
      <c r="I29" s="11" t="s">
        <v>17</v>
      </c>
      <c r="J29" s="11">
        <v>4.5</v>
      </c>
      <c r="K29" s="16">
        <v>4.5</v>
      </c>
      <c r="L29" s="16">
        <v>4.5</v>
      </c>
      <c r="M29" s="16">
        <v>4.5</v>
      </c>
      <c r="N29" s="16">
        <v>4.5</v>
      </c>
      <c r="O29" s="16">
        <v>4.5</v>
      </c>
      <c r="P29" s="16">
        <v>4.5</v>
      </c>
      <c r="Q29" s="16">
        <v>4.5</v>
      </c>
      <c r="R29" s="4">
        <v>0</v>
      </c>
      <c r="S29" s="6">
        <v>36.665900000000001</v>
      </c>
      <c r="T29" s="6">
        <v>46.097499999999997</v>
      </c>
      <c r="U29" s="6"/>
      <c r="V29" s="6">
        <v>37.78</v>
      </c>
      <c r="W29" s="6">
        <v>84.444999999999993</v>
      </c>
      <c r="X29" s="6">
        <v>100</v>
      </c>
      <c r="Y29" s="6">
        <v>100</v>
      </c>
    </row>
    <row r="30" spans="1:25" x14ac:dyDescent="0.25">
      <c r="A30" s="1" t="s">
        <v>4</v>
      </c>
      <c r="B30" s="3" t="s">
        <v>59</v>
      </c>
      <c r="C30" s="21">
        <v>1.7</v>
      </c>
      <c r="D30" s="10" t="s">
        <v>20</v>
      </c>
      <c r="E30" s="11" t="s">
        <v>17</v>
      </c>
      <c r="F30" s="11" t="s">
        <v>18</v>
      </c>
      <c r="G30" s="11">
        <v>4.5</v>
      </c>
      <c r="H30" s="11">
        <v>4.5</v>
      </c>
      <c r="I30" s="11" t="s">
        <v>17</v>
      </c>
      <c r="J30" s="11">
        <v>2.5</v>
      </c>
      <c r="K30" s="16">
        <v>4.5</v>
      </c>
      <c r="L30" s="16">
        <v>4.5</v>
      </c>
      <c r="M30" s="16">
        <v>4.5</v>
      </c>
      <c r="N30" s="16" t="s">
        <v>201</v>
      </c>
      <c r="O30" s="16" t="s">
        <v>201</v>
      </c>
      <c r="P30" s="16">
        <v>3.5</v>
      </c>
      <c r="Q30" s="16">
        <v>3.5</v>
      </c>
      <c r="R30" s="4">
        <v>0</v>
      </c>
      <c r="S30" s="6">
        <v>46.883299999999998</v>
      </c>
      <c r="T30" s="6">
        <v>58.943100000000001</v>
      </c>
      <c r="U30" s="6"/>
      <c r="V30" s="6">
        <v>44.17</v>
      </c>
      <c r="W30" s="6">
        <v>86.042500000000004</v>
      </c>
      <c r="X30" s="6">
        <v>100</v>
      </c>
      <c r="Y30" s="6">
        <v>100</v>
      </c>
    </row>
    <row r="31" spans="1:25" x14ac:dyDescent="0.25">
      <c r="A31" s="1" t="s">
        <v>4</v>
      </c>
      <c r="B31" s="3" t="s">
        <v>60</v>
      </c>
      <c r="C31" s="23">
        <v>3.6</v>
      </c>
      <c r="D31" s="10" t="s">
        <v>17</v>
      </c>
      <c r="E31" s="11" t="s">
        <v>17</v>
      </c>
      <c r="F31" s="11" t="s">
        <v>18</v>
      </c>
      <c r="G31" s="11">
        <v>4.5</v>
      </c>
      <c r="H31" s="11" t="s">
        <v>17</v>
      </c>
      <c r="I31" s="11" t="s">
        <v>17</v>
      </c>
      <c r="J31" s="11" t="s">
        <v>17</v>
      </c>
      <c r="K31" s="16">
        <v>4.5</v>
      </c>
      <c r="L31" s="16">
        <v>4.5</v>
      </c>
      <c r="M31" s="16" t="s">
        <v>201</v>
      </c>
      <c r="N31" s="16" t="s">
        <v>201</v>
      </c>
      <c r="O31" s="16">
        <v>3.5</v>
      </c>
      <c r="P31" s="16">
        <v>2.5</v>
      </c>
      <c r="Q31" s="16">
        <v>2.5</v>
      </c>
      <c r="R31" s="4">
        <v>0</v>
      </c>
      <c r="S31" s="6">
        <v>50.2301</v>
      </c>
      <c r="T31" s="6">
        <v>63.150799999999997</v>
      </c>
      <c r="U31" s="6"/>
      <c r="V31" s="6">
        <v>49.16</v>
      </c>
      <c r="W31" s="6">
        <v>87.29</v>
      </c>
      <c r="X31" s="6">
        <v>100</v>
      </c>
      <c r="Y31" s="6">
        <v>100</v>
      </c>
    </row>
    <row r="32" spans="1:25" x14ac:dyDescent="0.25">
      <c r="A32" s="1" t="s">
        <v>4</v>
      </c>
      <c r="B32" s="3" t="s">
        <v>61</v>
      </c>
      <c r="C32" s="23">
        <v>2</v>
      </c>
      <c r="D32" s="10" t="s">
        <v>17</v>
      </c>
      <c r="E32" s="11">
        <v>3.5</v>
      </c>
      <c r="F32" s="11" t="s">
        <v>18</v>
      </c>
      <c r="G32" s="11">
        <v>4.5</v>
      </c>
      <c r="H32" s="11">
        <v>4.5</v>
      </c>
      <c r="I32" s="11">
        <v>4.5</v>
      </c>
      <c r="J32" s="11" t="s">
        <v>18</v>
      </c>
      <c r="K32" s="16">
        <v>4.5</v>
      </c>
      <c r="L32" s="16">
        <v>4.5</v>
      </c>
      <c r="M32" s="16">
        <v>4.5</v>
      </c>
      <c r="N32" s="16">
        <v>4.5</v>
      </c>
      <c r="O32" s="16">
        <v>4.5</v>
      </c>
      <c r="P32" s="16">
        <v>4.5</v>
      </c>
      <c r="Q32" s="16">
        <v>4.5</v>
      </c>
      <c r="R32" s="4">
        <v>0</v>
      </c>
      <c r="S32" s="6">
        <v>31.7163</v>
      </c>
      <c r="T32" s="6">
        <v>39.874600000000001</v>
      </c>
      <c r="U32" s="6"/>
      <c r="V32" s="6">
        <v>48.38</v>
      </c>
      <c r="W32" s="6">
        <v>87.094999999999999</v>
      </c>
      <c r="X32" s="6">
        <v>100</v>
      </c>
      <c r="Y32" s="6">
        <v>100</v>
      </c>
    </row>
    <row r="33" spans="1:25" x14ac:dyDescent="0.25">
      <c r="A33" s="1" t="s">
        <v>5</v>
      </c>
      <c r="B33" s="3" t="s">
        <v>62</v>
      </c>
      <c r="C33" s="21">
        <v>3.5</v>
      </c>
      <c r="D33" s="10">
        <v>6.5</v>
      </c>
      <c r="E33" s="11" t="s">
        <v>17</v>
      </c>
      <c r="F33" s="11" t="s">
        <v>17</v>
      </c>
      <c r="G33" s="11">
        <v>4.5</v>
      </c>
      <c r="H33" s="11" t="s">
        <v>17</v>
      </c>
      <c r="I33" s="11" t="s">
        <v>17</v>
      </c>
      <c r="J33" s="11">
        <v>4.5</v>
      </c>
      <c r="K33" s="16">
        <v>4.5</v>
      </c>
      <c r="L33" s="16">
        <v>4.5</v>
      </c>
      <c r="M33" s="16">
        <v>4.5</v>
      </c>
      <c r="N33" s="16">
        <v>4.5</v>
      </c>
      <c r="O33" s="16">
        <v>4.5</v>
      </c>
      <c r="P33" s="16" t="s">
        <v>201</v>
      </c>
      <c r="Q33" s="16" t="s">
        <v>201</v>
      </c>
      <c r="R33" s="4">
        <v>0</v>
      </c>
      <c r="S33" s="6">
        <v>45.3566</v>
      </c>
      <c r="T33" s="6">
        <v>57.023699999999998</v>
      </c>
      <c r="U33" s="6"/>
      <c r="V33" s="6">
        <v>33.909999999999997</v>
      </c>
      <c r="W33" s="6">
        <v>83.477500000000006</v>
      </c>
      <c r="X33" s="6">
        <v>100</v>
      </c>
      <c r="Y33" s="6">
        <v>100</v>
      </c>
    </row>
    <row r="34" spans="1:25" x14ac:dyDescent="0.25">
      <c r="A34" s="1" t="s">
        <v>5</v>
      </c>
      <c r="B34" s="3" t="s">
        <v>63</v>
      </c>
      <c r="C34" s="21">
        <v>2.2000000000000002</v>
      </c>
      <c r="D34" s="10">
        <v>4.5</v>
      </c>
      <c r="E34" s="11">
        <v>3.5</v>
      </c>
      <c r="F34" s="11">
        <v>2.5</v>
      </c>
      <c r="G34" s="11">
        <v>4.5</v>
      </c>
      <c r="H34" s="11">
        <v>4.5</v>
      </c>
      <c r="I34" s="11" t="s">
        <v>17</v>
      </c>
      <c r="J34" s="11">
        <v>4.5</v>
      </c>
      <c r="K34" s="16">
        <v>4.5</v>
      </c>
      <c r="L34" s="16">
        <v>4.5</v>
      </c>
      <c r="M34" s="16">
        <v>4.5</v>
      </c>
      <c r="N34" s="16">
        <v>4.5</v>
      </c>
      <c r="O34" s="16">
        <v>4.5</v>
      </c>
      <c r="P34" s="16">
        <v>4.5</v>
      </c>
      <c r="Q34" s="16">
        <v>4.5</v>
      </c>
      <c r="R34" s="4">
        <v>0</v>
      </c>
      <c r="S34" s="6">
        <v>36.665900000000001</v>
      </c>
      <c r="T34" s="6">
        <v>46.097499999999997</v>
      </c>
      <c r="U34" s="6"/>
      <c r="V34" s="6">
        <v>37.78</v>
      </c>
      <c r="W34" s="6">
        <v>84.444999999999993</v>
      </c>
      <c r="X34" s="6">
        <v>100</v>
      </c>
      <c r="Y34" s="6">
        <v>100</v>
      </c>
    </row>
    <row r="35" spans="1:25" x14ac:dyDescent="0.25">
      <c r="A35" s="1" t="s">
        <v>5</v>
      </c>
      <c r="B35" s="3" t="s">
        <v>64</v>
      </c>
      <c r="C35" s="23">
        <v>3.2</v>
      </c>
      <c r="D35" s="10" t="s">
        <v>17</v>
      </c>
      <c r="E35" s="11">
        <v>3.5</v>
      </c>
      <c r="F35" s="11" t="s">
        <v>18</v>
      </c>
      <c r="G35" s="11" t="s">
        <v>17</v>
      </c>
      <c r="H35" s="11" t="s">
        <v>17</v>
      </c>
      <c r="I35" s="11" t="s">
        <v>17</v>
      </c>
      <c r="J35" s="11">
        <v>3.5</v>
      </c>
      <c r="K35" s="16"/>
      <c r="L35" s="16"/>
      <c r="M35" s="16"/>
      <c r="N35" s="16"/>
      <c r="O35" s="16"/>
      <c r="P35" s="16"/>
      <c r="Q35" s="16"/>
      <c r="R35" s="4">
        <v>0</v>
      </c>
      <c r="S35" s="6">
        <v>46</v>
      </c>
      <c r="T35" s="6">
        <v>56</v>
      </c>
      <c r="U35" s="6"/>
      <c r="V35" s="6">
        <v>41.83</v>
      </c>
      <c r="W35" s="6">
        <v>85.457499999999996</v>
      </c>
      <c r="X35" s="6">
        <v>100</v>
      </c>
      <c r="Y35" s="6">
        <v>100</v>
      </c>
    </row>
    <row r="36" spans="1:25" x14ac:dyDescent="0.25">
      <c r="A36" s="1" t="s">
        <v>5</v>
      </c>
      <c r="B36" s="3" t="s">
        <v>65</v>
      </c>
      <c r="C36" s="21">
        <v>2</v>
      </c>
      <c r="D36" s="10">
        <v>4.5</v>
      </c>
      <c r="E36" s="11">
        <v>3.5</v>
      </c>
      <c r="F36" s="11" t="s">
        <v>18</v>
      </c>
      <c r="G36" s="11">
        <v>4.5</v>
      </c>
      <c r="H36" s="11">
        <v>4.5</v>
      </c>
      <c r="I36" s="11">
        <v>4.5</v>
      </c>
      <c r="J36" s="11" t="s">
        <v>17</v>
      </c>
      <c r="K36" s="16">
        <v>3.5</v>
      </c>
      <c r="L36" s="16">
        <v>3.5</v>
      </c>
      <c r="M36" s="16" t="s">
        <v>202</v>
      </c>
      <c r="N36" s="16" t="s">
        <v>202</v>
      </c>
      <c r="O36" s="16">
        <v>2.5</v>
      </c>
      <c r="P36" s="16">
        <v>2.5</v>
      </c>
      <c r="Q36" s="16">
        <v>2.5</v>
      </c>
      <c r="R36" s="4">
        <v>0</v>
      </c>
      <c r="S36" s="6">
        <v>25.194400000000002</v>
      </c>
      <c r="T36" s="6">
        <v>31.6751</v>
      </c>
      <c r="U36" s="6"/>
      <c r="V36" s="6">
        <v>22.07</v>
      </c>
      <c r="W36" s="6">
        <v>80.517499999999998</v>
      </c>
      <c r="X36" s="6">
        <v>100</v>
      </c>
      <c r="Y36" s="6">
        <v>100</v>
      </c>
    </row>
    <row r="37" spans="1:25" x14ac:dyDescent="0.25">
      <c r="A37" s="1" t="s">
        <v>5</v>
      </c>
      <c r="B37" s="3" t="s">
        <v>66</v>
      </c>
      <c r="C37" s="21">
        <v>2.4</v>
      </c>
      <c r="D37" s="10">
        <v>3.5</v>
      </c>
      <c r="E37" s="11">
        <v>3.5</v>
      </c>
      <c r="F37" s="11" t="s">
        <v>18</v>
      </c>
      <c r="G37" s="11">
        <v>4.5</v>
      </c>
      <c r="H37" s="11">
        <v>4.5</v>
      </c>
      <c r="I37" s="11" t="s">
        <v>18</v>
      </c>
      <c r="J37" s="11">
        <v>4.5</v>
      </c>
      <c r="K37" s="16">
        <v>4.5</v>
      </c>
      <c r="L37" s="16">
        <v>4.5</v>
      </c>
      <c r="M37" s="16">
        <v>4.5</v>
      </c>
      <c r="N37" s="16">
        <v>4.5</v>
      </c>
      <c r="O37" s="16">
        <v>4.5</v>
      </c>
      <c r="P37" s="16">
        <v>4.5</v>
      </c>
      <c r="Q37" s="16">
        <v>4.5</v>
      </c>
      <c r="R37" s="4">
        <v>0</v>
      </c>
      <c r="S37" s="6">
        <v>66.407600000000002</v>
      </c>
      <c r="T37" s="6">
        <v>83.489500000000007</v>
      </c>
      <c r="U37" s="6"/>
      <c r="V37" s="6">
        <v>48.01</v>
      </c>
      <c r="W37" s="6">
        <v>87.002499999999998</v>
      </c>
      <c r="X37" s="6">
        <v>100</v>
      </c>
      <c r="Y37" s="6">
        <v>100</v>
      </c>
    </row>
    <row r="38" spans="1:25" x14ac:dyDescent="0.25">
      <c r="A38" s="1" t="s">
        <v>5</v>
      </c>
      <c r="B38" s="3" t="s">
        <v>67</v>
      </c>
      <c r="C38" s="21">
        <v>2.2000000000000002</v>
      </c>
      <c r="D38" s="10">
        <v>3.5</v>
      </c>
      <c r="E38" s="11" t="s">
        <v>17</v>
      </c>
      <c r="F38" s="11" t="s">
        <v>18</v>
      </c>
      <c r="G38" s="11">
        <v>4.5</v>
      </c>
      <c r="H38" s="11">
        <v>4.5</v>
      </c>
      <c r="I38" s="11">
        <v>3.5</v>
      </c>
      <c r="J38" s="11">
        <v>4.5</v>
      </c>
      <c r="K38" s="16">
        <v>4.5</v>
      </c>
      <c r="L38" s="16">
        <v>4.5</v>
      </c>
      <c r="M38" s="16">
        <v>4.5</v>
      </c>
      <c r="N38" s="16">
        <v>4.5</v>
      </c>
      <c r="O38" s="16">
        <v>4.5</v>
      </c>
      <c r="P38" s="16">
        <v>4.5</v>
      </c>
      <c r="Q38" s="16" t="s">
        <v>201</v>
      </c>
      <c r="R38" s="4">
        <v>0</v>
      </c>
      <c r="S38" s="6">
        <v>64.935599999999994</v>
      </c>
      <c r="T38" s="6">
        <v>81.638900000000007</v>
      </c>
      <c r="U38" s="6"/>
      <c r="V38" s="6">
        <v>70.37</v>
      </c>
      <c r="W38" s="6">
        <v>92.592500000000001</v>
      </c>
      <c r="X38" s="6">
        <v>100</v>
      </c>
      <c r="Y38" s="6">
        <v>100</v>
      </c>
    </row>
    <row r="39" spans="1:25" x14ac:dyDescent="0.25">
      <c r="A39" s="1" t="s">
        <v>5</v>
      </c>
      <c r="B39" s="3" t="s">
        <v>68</v>
      </c>
      <c r="C39" s="21">
        <v>2.6</v>
      </c>
      <c r="D39" s="10" t="s">
        <v>17</v>
      </c>
      <c r="E39" s="11">
        <v>3.5</v>
      </c>
      <c r="F39" s="11" t="s">
        <v>18</v>
      </c>
      <c r="G39" s="11">
        <v>4.5</v>
      </c>
      <c r="H39" s="11">
        <v>4.5</v>
      </c>
      <c r="I39" s="11">
        <v>4.5</v>
      </c>
      <c r="J39" s="11">
        <v>4.5</v>
      </c>
      <c r="K39" s="16">
        <v>4.5</v>
      </c>
      <c r="L39" s="16">
        <v>4.5</v>
      </c>
      <c r="M39" s="16">
        <v>4.5</v>
      </c>
      <c r="N39" s="16" t="s">
        <v>201</v>
      </c>
      <c r="O39" s="16" t="s">
        <v>201</v>
      </c>
      <c r="P39" s="16" t="s">
        <v>201</v>
      </c>
      <c r="Q39" s="16">
        <v>3.5</v>
      </c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1" t="s">
        <v>5</v>
      </c>
      <c r="B40" s="3" t="s">
        <v>69</v>
      </c>
      <c r="C40" s="21">
        <v>1.8</v>
      </c>
      <c r="D40" s="10">
        <v>3.5</v>
      </c>
      <c r="E40" s="11" t="s">
        <v>17</v>
      </c>
      <c r="F40" s="11">
        <v>3.5</v>
      </c>
      <c r="G40" s="11">
        <v>4.5</v>
      </c>
      <c r="H40" s="11">
        <v>4.5</v>
      </c>
      <c r="I40" s="11">
        <v>3.5</v>
      </c>
      <c r="J40" s="11">
        <v>4.5</v>
      </c>
      <c r="K40" s="16">
        <v>4.5</v>
      </c>
      <c r="L40" s="16">
        <v>4.5</v>
      </c>
      <c r="M40" s="16">
        <v>4.5</v>
      </c>
      <c r="N40" s="16">
        <v>4.5</v>
      </c>
      <c r="O40" s="16">
        <v>4.5</v>
      </c>
      <c r="P40" s="16">
        <v>4.5</v>
      </c>
      <c r="Q40" s="16">
        <v>4.5</v>
      </c>
      <c r="R40" s="4">
        <v>0</v>
      </c>
      <c r="S40" s="6">
        <v>54.240299999999998</v>
      </c>
      <c r="T40" s="6">
        <v>68.192499999999995</v>
      </c>
      <c r="U40" s="6"/>
      <c r="V40" s="6">
        <v>67.239999999999995</v>
      </c>
      <c r="W40" s="6">
        <v>91.81</v>
      </c>
      <c r="X40" s="6">
        <v>100</v>
      </c>
      <c r="Y40" s="6">
        <v>100</v>
      </c>
    </row>
    <row r="41" spans="1:25" x14ac:dyDescent="0.25">
      <c r="A41" s="1" t="s">
        <v>5</v>
      </c>
      <c r="B41" s="3" t="s">
        <v>70</v>
      </c>
      <c r="C41" s="21">
        <v>2.6</v>
      </c>
      <c r="D41" s="10">
        <v>4.5</v>
      </c>
      <c r="E41" s="11">
        <v>3.5</v>
      </c>
      <c r="F41" s="11" t="s">
        <v>18</v>
      </c>
      <c r="G41" s="11">
        <v>4.5</v>
      </c>
      <c r="H41" s="11">
        <v>4.5</v>
      </c>
      <c r="I41" s="11" t="s">
        <v>17</v>
      </c>
      <c r="J41" s="11" t="s">
        <v>17</v>
      </c>
      <c r="K41" s="16">
        <v>4.5</v>
      </c>
      <c r="L41" s="16">
        <v>4.5</v>
      </c>
      <c r="M41" s="16">
        <v>4.5</v>
      </c>
      <c r="N41" s="16">
        <v>4.5</v>
      </c>
      <c r="O41" s="16">
        <v>4.5</v>
      </c>
      <c r="P41" s="16" t="s">
        <v>201</v>
      </c>
      <c r="Q41" s="16" t="s">
        <v>201</v>
      </c>
      <c r="R41" s="4">
        <v>0</v>
      </c>
      <c r="S41" s="6">
        <v>37.041899999999998</v>
      </c>
      <c r="T41" s="6">
        <v>46.570099999999996</v>
      </c>
      <c r="U41" s="6"/>
      <c r="V41" s="6">
        <v>38.119999999999997</v>
      </c>
      <c r="W41" s="6">
        <v>84.53</v>
      </c>
      <c r="X41" s="6">
        <v>100</v>
      </c>
      <c r="Y41" s="6">
        <v>100</v>
      </c>
    </row>
    <row r="42" spans="1:25" x14ac:dyDescent="0.25">
      <c r="A42" s="1" t="s">
        <v>5</v>
      </c>
      <c r="B42" s="3" t="s">
        <v>71</v>
      </c>
      <c r="C42" s="23">
        <v>3</v>
      </c>
      <c r="D42" s="10">
        <v>4.5</v>
      </c>
      <c r="E42" s="11" t="s">
        <v>18</v>
      </c>
      <c r="F42" s="11">
        <v>2.5</v>
      </c>
      <c r="G42" s="11">
        <v>4.5</v>
      </c>
      <c r="H42" s="11" t="s">
        <v>17</v>
      </c>
      <c r="I42" s="11">
        <v>3.5</v>
      </c>
      <c r="J42" s="11">
        <v>4.5</v>
      </c>
      <c r="K42" s="16">
        <v>4.5</v>
      </c>
      <c r="L42" s="16">
        <v>4.5</v>
      </c>
      <c r="M42" s="16">
        <v>4.5</v>
      </c>
      <c r="N42" s="16">
        <v>4.5</v>
      </c>
      <c r="O42" s="16" t="s">
        <v>201</v>
      </c>
      <c r="P42" s="16" t="s">
        <v>201</v>
      </c>
      <c r="Q42" s="16">
        <v>3.5</v>
      </c>
      <c r="R42" s="4">
        <v>0</v>
      </c>
      <c r="S42" s="6">
        <v>36.877099999999999</v>
      </c>
      <c r="T42" s="6">
        <v>46.362900000000003</v>
      </c>
      <c r="U42" s="6"/>
      <c r="V42" s="6">
        <v>40.799999999999997</v>
      </c>
      <c r="W42" s="6">
        <v>85.2</v>
      </c>
      <c r="X42" s="6">
        <v>100</v>
      </c>
      <c r="Y42" s="6">
        <v>100</v>
      </c>
    </row>
    <row r="43" spans="1:25" x14ac:dyDescent="0.25">
      <c r="A43" s="1" t="s">
        <v>5</v>
      </c>
      <c r="B43" s="3" t="s">
        <v>72</v>
      </c>
      <c r="C43" s="23">
        <v>2.2000000000000002</v>
      </c>
      <c r="D43" s="10">
        <v>4.5</v>
      </c>
      <c r="E43" s="11">
        <v>3.5</v>
      </c>
      <c r="F43" s="11">
        <v>2.5</v>
      </c>
      <c r="G43" s="11">
        <v>4.5</v>
      </c>
      <c r="H43" s="11">
        <v>4.5</v>
      </c>
      <c r="I43" s="11">
        <v>4.5</v>
      </c>
      <c r="J43" s="11">
        <v>4.5</v>
      </c>
      <c r="K43" s="16">
        <v>4.5</v>
      </c>
      <c r="L43" s="16">
        <v>4.5</v>
      </c>
      <c r="M43" s="16">
        <v>4.5</v>
      </c>
      <c r="N43" s="16">
        <v>4.5</v>
      </c>
      <c r="O43" s="16">
        <v>4.5</v>
      </c>
      <c r="P43" s="16">
        <v>4.5</v>
      </c>
      <c r="Q43" s="16">
        <v>4.5</v>
      </c>
      <c r="R43" s="4">
        <v>0</v>
      </c>
      <c r="S43" s="6">
        <v>38.895400000000002</v>
      </c>
      <c r="T43" s="6">
        <v>48.900399999999998</v>
      </c>
      <c r="U43" s="6"/>
      <c r="V43" s="6">
        <v>33.89</v>
      </c>
      <c r="W43" s="6">
        <v>83.472499999999997</v>
      </c>
      <c r="X43" s="6">
        <v>100</v>
      </c>
      <c r="Y43" s="6">
        <v>100</v>
      </c>
    </row>
    <row r="44" spans="1:25" x14ac:dyDescent="0.25">
      <c r="A44" s="1" t="s">
        <v>5</v>
      </c>
      <c r="B44" s="3" t="s">
        <v>73</v>
      </c>
      <c r="C44" s="21">
        <v>2.2000000000000002</v>
      </c>
      <c r="D44" s="10" t="s">
        <v>17</v>
      </c>
      <c r="E44" s="11">
        <v>3.5</v>
      </c>
      <c r="F44" s="11">
        <v>2.5</v>
      </c>
      <c r="G44" s="11">
        <v>4.5</v>
      </c>
      <c r="H44" s="11">
        <v>4.5</v>
      </c>
      <c r="I44" s="11">
        <v>3.5</v>
      </c>
      <c r="J44" s="11">
        <v>4.5</v>
      </c>
      <c r="K44" s="16">
        <v>4.5</v>
      </c>
      <c r="L44" s="16">
        <v>4.5</v>
      </c>
      <c r="M44" s="16">
        <v>4.5</v>
      </c>
      <c r="N44" s="16">
        <v>4.5</v>
      </c>
      <c r="O44" s="16">
        <v>4.5</v>
      </c>
      <c r="P44" s="16">
        <v>4.5</v>
      </c>
      <c r="Q44" s="16" t="s">
        <v>201</v>
      </c>
      <c r="R44" s="4">
        <v>0</v>
      </c>
      <c r="S44" s="6">
        <v>56.967300000000002</v>
      </c>
      <c r="T44" s="6">
        <v>71.620999999999995</v>
      </c>
      <c r="U44" s="6"/>
      <c r="V44" s="6">
        <v>53.71</v>
      </c>
      <c r="W44" s="6">
        <v>88.427499999999995</v>
      </c>
      <c r="X44" s="6">
        <v>100</v>
      </c>
      <c r="Y44" s="6">
        <v>100</v>
      </c>
    </row>
    <row r="45" spans="1:25" x14ac:dyDescent="0.25">
      <c r="A45" s="1" t="s">
        <v>5</v>
      </c>
      <c r="B45" s="3" t="s">
        <v>74</v>
      </c>
      <c r="C45" s="21">
        <v>4.5999999999999996</v>
      </c>
      <c r="D45" s="10" t="s">
        <v>18</v>
      </c>
      <c r="E45" s="11">
        <v>2.5</v>
      </c>
      <c r="F45" s="11">
        <v>1.5</v>
      </c>
      <c r="G45" s="11">
        <v>4.5</v>
      </c>
      <c r="H45" s="11" t="s">
        <v>17</v>
      </c>
      <c r="I45" s="11">
        <v>3.5</v>
      </c>
      <c r="J45" s="11" t="s">
        <v>18</v>
      </c>
      <c r="K45" s="16">
        <v>4.5</v>
      </c>
      <c r="L45" s="16">
        <v>4.5</v>
      </c>
      <c r="M45" s="16">
        <v>4.5</v>
      </c>
      <c r="N45" s="16" t="s">
        <v>201</v>
      </c>
      <c r="O45" s="16">
        <v>3.5</v>
      </c>
      <c r="P45" s="16" t="s">
        <v>202</v>
      </c>
      <c r="Q45" s="16" t="s">
        <v>202</v>
      </c>
      <c r="R45" s="4">
        <v>0</v>
      </c>
      <c r="S45" s="6">
        <v>52.380499999999998</v>
      </c>
      <c r="T45" s="6">
        <v>65.854299999999995</v>
      </c>
      <c r="U45" s="6"/>
      <c r="V45" s="6">
        <v>31.45</v>
      </c>
      <c r="W45" s="6">
        <v>82.862499999999997</v>
      </c>
      <c r="X45" s="6">
        <v>100</v>
      </c>
      <c r="Y45" s="6">
        <v>100</v>
      </c>
    </row>
    <row r="46" spans="1:25" x14ac:dyDescent="0.25">
      <c r="A46" s="1" t="s">
        <v>5</v>
      </c>
      <c r="B46" s="3" t="s">
        <v>75</v>
      </c>
      <c r="C46" s="24">
        <v>1.2</v>
      </c>
      <c r="D46" s="10">
        <v>5.5</v>
      </c>
      <c r="E46" s="11">
        <v>4.5</v>
      </c>
      <c r="F46" s="11" t="s">
        <v>17</v>
      </c>
      <c r="G46" s="11">
        <v>4.5</v>
      </c>
      <c r="H46" s="11">
        <v>4.5</v>
      </c>
      <c r="I46" s="11">
        <v>3.5</v>
      </c>
      <c r="J46" s="11">
        <v>1.5</v>
      </c>
      <c r="K46" s="16" t="s">
        <v>201</v>
      </c>
      <c r="L46" s="16">
        <v>3.5</v>
      </c>
      <c r="M46" s="16">
        <v>3.5</v>
      </c>
      <c r="N46" s="16" t="s">
        <v>202</v>
      </c>
      <c r="O46" s="16">
        <v>2.5</v>
      </c>
      <c r="P46" s="16">
        <v>1.5</v>
      </c>
      <c r="Q46" s="16">
        <v>1.5</v>
      </c>
      <c r="R46" s="4">
        <v>0</v>
      </c>
      <c r="S46" s="6">
        <v>45.488199999999999</v>
      </c>
      <c r="T46" s="6">
        <v>57.189</v>
      </c>
      <c r="U46" s="6"/>
      <c r="V46" s="6">
        <v>46.28</v>
      </c>
      <c r="W46" s="6">
        <v>86.57</v>
      </c>
      <c r="X46" s="6">
        <v>100</v>
      </c>
      <c r="Y46" s="6">
        <v>100</v>
      </c>
    </row>
    <row r="47" spans="1:25" x14ac:dyDescent="0.25">
      <c r="A47" s="1" t="s">
        <v>5</v>
      </c>
      <c r="B47" s="3" t="s">
        <v>76</v>
      </c>
      <c r="C47" s="23">
        <v>3</v>
      </c>
      <c r="D47" s="10" t="s">
        <v>22</v>
      </c>
      <c r="E47" s="11">
        <v>4.5</v>
      </c>
      <c r="F47" s="11">
        <v>3.5</v>
      </c>
      <c r="G47" s="11">
        <v>3.5</v>
      </c>
      <c r="H47" s="11" t="s">
        <v>18</v>
      </c>
      <c r="I47" s="11" t="s">
        <v>19</v>
      </c>
      <c r="J47" s="11">
        <v>2.5</v>
      </c>
      <c r="K47" s="16">
        <v>4.5</v>
      </c>
      <c r="L47" s="16">
        <v>4.5</v>
      </c>
      <c r="M47" s="16">
        <v>4.5</v>
      </c>
      <c r="N47" s="16" t="s">
        <v>201</v>
      </c>
      <c r="O47" s="16">
        <v>3.5</v>
      </c>
      <c r="P47" s="16" t="s">
        <v>202</v>
      </c>
      <c r="Q47" s="16">
        <v>2.5</v>
      </c>
      <c r="R47" s="4">
        <v>0</v>
      </c>
      <c r="S47" s="6">
        <v>61.559600000000003</v>
      </c>
      <c r="T47" s="6">
        <v>77.394499999999994</v>
      </c>
      <c r="U47" s="6"/>
      <c r="V47" s="6">
        <v>47.15</v>
      </c>
      <c r="W47" s="6">
        <v>86.787499999999994</v>
      </c>
      <c r="X47" s="6">
        <v>100</v>
      </c>
      <c r="Y47" s="6">
        <v>100</v>
      </c>
    </row>
    <row r="48" spans="1:25" x14ac:dyDescent="0.25">
      <c r="A48" s="1" t="s">
        <v>5</v>
      </c>
      <c r="B48" s="3" t="s">
        <v>77</v>
      </c>
      <c r="C48" s="23">
        <v>1.8</v>
      </c>
      <c r="D48" s="10">
        <v>4.5</v>
      </c>
      <c r="E48" s="11">
        <v>3.5</v>
      </c>
      <c r="F48" s="11">
        <v>2.5</v>
      </c>
      <c r="G48" s="11">
        <v>4.5</v>
      </c>
      <c r="H48" s="11">
        <v>4.5</v>
      </c>
      <c r="I48" s="11">
        <v>4.5</v>
      </c>
      <c r="J48" s="11" t="s">
        <v>18</v>
      </c>
      <c r="K48" s="16">
        <v>4.5</v>
      </c>
      <c r="L48" s="16">
        <v>4.5</v>
      </c>
      <c r="M48" s="16">
        <v>4.5</v>
      </c>
      <c r="N48" s="16">
        <v>4.5</v>
      </c>
      <c r="O48" s="16" t="s">
        <v>201</v>
      </c>
      <c r="P48" s="16" t="s">
        <v>201</v>
      </c>
      <c r="Q48" s="16">
        <v>3.5</v>
      </c>
      <c r="R48" s="7">
        <v>0</v>
      </c>
      <c r="S48" s="8">
        <v>54.199199999999998</v>
      </c>
      <c r="T48" s="8">
        <v>68.140799999999999</v>
      </c>
      <c r="U48" s="8"/>
      <c r="V48" s="8">
        <v>42.3</v>
      </c>
      <c r="W48" s="8">
        <v>85.575000000000003</v>
      </c>
      <c r="X48" s="8">
        <v>100</v>
      </c>
      <c r="Y48" s="8">
        <v>100</v>
      </c>
    </row>
    <row r="49" spans="1:25" x14ac:dyDescent="0.25">
      <c r="A49" s="1" t="s">
        <v>5</v>
      </c>
      <c r="B49" s="3" t="s">
        <v>78</v>
      </c>
      <c r="C49" s="23">
        <v>3.2</v>
      </c>
      <c r="D49" s="10" t="s">
        <v>17</v>
      </c>
      <c r="E49" s="11" t="s">
        <v>17</v>
      </c>
      <c r="F49" s="11">
        <v>3.5</v>
      </c>
      <c r="G49" s="11" t="s">
        <v>17</v>
      </c>
      <c r="H49" s="11" t="s">
        <v>17</v>
      </c>
      <c r="I49" s="11" t="s">
        <v>17</v>
      </c>
      <c r="J49" s="11">
        <v>3.5</v>
      </c>
      <c r="K49" s="16">
        <v>4.5</v>
      </c>
      <c r="L49" s="16">
        <v>4.5</v>
      </c>
      <c r="M49" s="16">
        <v>4.5</v>
      </c>
      <c r="N49" s="16">
        <v>4.5</v>
      </c>
      <c r="O49" s="16" t="s">
        <v>201</v>
      </c>
      <c r="P49" s="16">
        <v>3.5</v>
      </c>
      <c r="Q49" s="16">
        <v>3.5</v>
      </c>
      <c r="R49" s="4">
        <v>0</v>
      </c>
      <c r="S49" s="6">
        <v>46.0959</v>
      </c>
      <c r="T49" s="6">
        <v>57.953099999999999</v>
      </c>
      <c r="U49" s="6"/>
      <c r="V49" s="6">
        <v>45.2</v>
      </c>
      <c r="W49" s="6">
        <v>86.3</v>
      </c>
      <c r="X49" s="6">
        <v>100</v>
      </c>
      <c r="Y49" s="6">
        <v>100</v>
      </c>
    </row>
    <row r="50" spans="1:25" x14ac:dyDescent="0.25">
      <c r="A50" s="1" t="s">
        <v>5</v>
      </c>
      <c r="B50" s="3" t="s">
        <v>79</v>
      </c>
      <c r="C50" s="23">
        <v>3.6</v>
      </c>
      <c r="D50" s="10" t="s">
        <v>17</v>
      </c>
      <c r="E50" s="11">
        <v>3.5</v>
      </c>
      <c r="F50" s="11" t="s">
        <v>18</v>
      </c>
      <c r="G50" s="11">
        <v>4.5</v>
      </c>
      <c r="H50" s="11" t="s">
        <v>17</v>
      </c>
      <c r="I50" s="11" t="s">
        <v>17</v>
      </c>
      <c r="J50" s="11" t="s">
        <v>17</v>
      </c>
      <c r="K50" s="16">
        <v>4.5</v>
      </c>
      <c r="L50" s="16">
        <v>4.5</v>
      </c>
      <c r="M50" s="16">
        <v>4.5</v>
      </c>
      <c r="N50" s="16">
        <v>4.5</v>
      </c>
      <c r="O50" s="16">
        <v>4.5</v>
      </c>
      <c r="P50" s="16" t="s">
        <v>201</v>
      </c>
      <c r="Q50" s="16" t="s">
        <v>201</v>
      </c>
      <c r="R50" s="4">
        <v>0</v>
      </c>
      <c r="S50" s="6">
        <v>54.484000000000002</v>
      </c>
      <c r="T50" s="6">
        <v>68.498900000000006</v>
      </c>
      <c r="U50" s="6"/>
      <c r="V50" s="6">
        <v>45.16</v>
      </c>
      <c r="W50" s="6">
        <v>86.29</v>
      </c>
      <c r="X50" s="6">
        <v>100</v>
      </c>
      <c r="Y50" s="6">
        <v>100</v>
      </c>
    </row>
    <row r="51" spans="1:25" x14ac:dyDescent="0.25">
      <c r="A51" s="1" t="s">
        <v>5</v>
      </c>
      <c r="B51" s="3" t="s">
        <v>80</v>
      </c>
      <c r="C51" s="23">
        <v>2.9</v>
      </c>
      <c r="D51" s="10" t="s">
        <v>17</v>
      </c>
      <c r="E51" s="11" t="s">
        <v>17</v>
      </c>
      <c r="F51" s="11" t="s">
        <v>18</v>
      </c>
      <c r="G51" s="11">
        <v>4.5</v>
      </c>
      <c r="H51" s="11" t="s">
        <v>17</v>
      </c>
      <c r="I51" s="11" t="s">
        <v>17</v>
      </c>
      <c r="J51" s="11" t="s">
        <v>17</v>
      </c>
      <c r="K51" s="16">
        <v>4.5</v>
      </c>
      <c r="L51" s="16">
        <v>4.5</v>
      </c>
      <c r="M51" s="16">
        <v>4.5</v>
      </c>
      <c r="N51" s="16">
        <v>4.5</v>
      </c>
      <c r="O51" s="16" t="s">
        <v>201</v>
      </c>
      <c r="P51" s="16" t="s">
        <v>201</v>
      </c>
      <c r="Q51" s="16" t="s">
        <v>201</v>
      </c>
      <c r="R51" s="4">
        <v>0</v>
      </c>
      <c r="S51" s="6">
        <v>50.2301</v>
      </c>
      <c r="T51" s="6">
        <v>63.150799999999997</v>
      </c>
      <c r="U51" s="6"/>
      <c r="V51" s="6">
        <v>49.16</v>
      </c>
      <c r="W51" s="6">
        <v>87.29</v>
      </c>
      <c r="X51" s="6">
        <v>100</v>
      </c>
      <c r="Y51" s="6">
        <v>100</v>
      </c>
    </row>
    <row r="52" spans="1:25" x14ac:dyDescent="0.25">
      <c r="A52" s="1" t="s">
        <v>5</v>
      </c>
      <c r="B52" s="3" t="s">
        <v>81</v>
      </c>
      <c r="C52" s="23">
        <v>3.2</v>
      </c>
      <c r="D52" s="10" t="s">
        <v>17</v>
      </c>
      <c r="E52" s="11" t="s">
        <v>17</v>
      </c>
      <c r="F52" s="11">
        <v>3.5</v>
      </c>
      <c r="G52" s="11" t="s">
        <v>17</v>
      </c>
      <c r="H52" s="11" t="s">
        <v>17</v>
      </c>
      <c r="I52" s="11">
        <v>4.5</v>
      </c>
      <c r="J52" s="11" t="s">
        <v>17</v>
      </c>
      <c r="K52" s="16">
        <v>4.5</v>
      </c>
      <c r="L52" s="16">
        <v>4.5</v>
      </c>
      <c r="M52" s="16">
        <v>4.5</v>
      </c>
      <c r="N52" s="16">
        <v>4.5</v>
      </c>
      <c r="O52" s="16">
        <v>4.5</v>
      </c>
      <c r="P52" s="16" t="s">
        <v>201</v>
      </c>
      <c r="Q52" s="16" t="s">
        <v>201</v>
      </c>
      <c r="R52" s="4">
        <v>0</v>
      </c>
      <c r="S52" s="6">
        <v>47</v>
      </c>
      <c r="T52" s="6">
        <v>59</v>
      </c>
      <c r="U52" s="6"/>
      <c r="V52" s="6">
        <v>67.150000000000006</v>
      </c>
      <c r="W52" s="6">
        <v>91.787499999999994</v>
      </c>
      <c r="X52" s="6">
        <v>100</v>
      </c>
      <c r="Y52" s="6">
        <v>100</v>
      </c>
    </row>
    <row r="53" spans="1:25" x14ac:dyDescent="0.25">
      <c r="A53" s="1" t="s">
        <v>5</v>
      </c>
      <c r="B53" s="3" t="s">
        <v>82</v>
      </c>
      <c r="C53" s="23">
        <v>2</v>
      </c>
      <c r="D53" s="10" t="s">
        <v>17</v>
      </c>
      <c r="E53" s="11">
        <v>3.5</v>
      </c>
      <c r="F53" s="11" t="s">
        <v>18</v>
      </c>
      <c r="G53" s="11">
        <v>4.5</v>
      </c>
      <c r="H53" s="11">
        <v>4.5</v>
      </c>
      <c r="I53" s="11">
        <v>4.5</v>
      </c>
      <c r="J53" s="11">
        <v>2.5</v>
      </c>
      <c r="K53" s="16">
        <v>4.5</v>
      </c>
      <c r="L53" s="16">
        <v>4.5</v>
      </c>
      <c r="M53" s="16">
        <v>4.5</v>
      </c>
      <c r="N53" s="16" t="s">
        <v>201</v>
      </c>
      <c r="O53" s="16">
        <v>3.5</v>
      </c>
      <c r="P53" s="16">
        <v>2.5</v>
      </c>
      <c r="Q53" s="16">
        <v>2.5</v>
      </c>
      <c r="R53" s="4">
        <v>0</v>
      </c>
      <c r="S53" s="6">
        <v>26.2437</v>
      </c>
      <c r="T53" s="6">
        <v>32.994300000000003</v>
      </c>
      <c r="U53" s="6"/>
      <c r="V53" s="6">
        <v>55.49</v>
      </c>
      <c r="W53" s="6">
        <v>88.872500000000002</v>
      </c>
      <c r="X53" s="6">
        <v>100</v>
      </c>
      <c r="Y53" s="6">
        <v>100</v>
      </c>
    </row>
    <row r="54" spans="1:25" x14ac:dyDescent="0.25">
      <c r="A54" s="1" t="s">
        <v>5</v>
      </c>
      <c r="B54" s="3" t="s">
        <v>83</v>
      </c>
      <c r="C54" s="23">
        <v>2.2999999999999998</v>
      </c>
      <c r="D54" s="10" t="s">
        <v>20</v>
      </c>
      <c r="E54" s="11">
        <v>4.5</v>
      </c>
      <c r="F54" s="11" t="s">
        <v>17</v>
      </c>
      <c r="G54" s="11">
        <v>4.5</v>
      </c>
      <c r="H54" s="11">
        <v>4.5</v>
      </c>
      <c r="I54" s="11">
        <v>4.5</v>
      </c>
      <c r="J54" s="11">
        <v>2.5</v>
      </c>
      <c r="K54" s="16">
        <v>4.5</v>
      </c>
      <c r="L54" s="16" t="s">
        <v>201</v>
      </c>
      <c r="M54" s="16" t="s">
        <v>201</v>
      </c>
      <c r="N54" s="16">
        <v>3.5</v>
      </c>
      <c r="O54" s="16">
        <v>3.5</v>
      </c>
      <c r="P54" s="16" t="s">
        <v>202</v>
      </c>
      <c r="Q54" s="16">
        <v>2.5</v>
      </c>
      <c r="R54" s="7">
        <v>0</v>
      </c>
      <c r="S54" s="8">
        <v>26.835752770392673</v>
      </c>
      <c r="T54" s="8">
        <v>35.942168788085553</v>
      </c>
      <c r="U54" s="8"/>
      <c r="V54" s="8">
        <v>35.53</v>
      </c>
      <c r="W54" s="8">
        <v>70.430000000000007</v>
      </c>
      <c r="X54" s="8">
        <v>100</v>
      </c>
      <c r="Y54" s="8">
        <v>100</v>
      </c>
    </row>
    <row r="55" spans="1:25" x14ac:dyDescent="0.25">
      <c r="A55" s="1" t="s">
        <v>6</v>
      </c>
      <c r="B55" s="3" t="s">
        <v>84</v>
      </c>
      <c r="C55" s="21">
        <v>2.6</v>
      </c>
      <c r="D55" s="10" t="s">
        <v>17</v>
      </c>
      <c r="E55" s="11">
        <v>3.5</v>
      </c>
      <c r="F55" s="11">
        <v>2.5</v>
      </c>
      <c r="G55" s="11" t="s">
        <v>17</v>
      </c>
      <c r="H55" s="11" t="s">
        <v>17</v>
      </c>
      <c r="I55" s="11">
        <v>3.5</v>
      </c>
      <c r="J55" s="11">
        <v>3.5</v>
      </c>
      <c r="K55" s="16">
        <v>4.5</v>
      </c>
      <c r="L55" s="16">
        <v>4.5</v>
      </c>
      <c r="M55" s="16">
        <v>4.5</v>
      </c>
      <c r="N55" s="16">
        <v>4.5</v>
      </c>
      <c r="O55" s="16">
        <v>4.5</v>
      </c>
      <c r="P55" s="16">
        <v>4.5</v>
      </c>
      <c r="Q55" s="16">
        <v>3.5</v>
      </c>
      <c r="R55" s="4">
        <v>0</v>
      </c>
      <c r="S55" s="6">
        <v>44.933100000000003</v>
      </c>
      <c r="T55" s="6">
        <v>56.491199999999999</v>
      </c>
      <c r="U55" s="6"/>
      <c r="V55" s="6">
        <v>84.7</v>
      </c>
      <c r="W55" s="6">
        <v>96.174999999999997</v>
      </c>
      <c r="X55" s="6">
        <v>100</v>
      </c>
      <c r="Y55" s="6">
        <v>100</v>
      </c>
    </row>
    <row r="56" spans="1:25" x14ac:dyDescent="0.25">
      <c r="A56" s="1" t="s">
        <v>6</v>
      </c>
      <c r="B56" s="3" t="s">
        <v>85</v>
      </c>
      <c r="C56" s="21">
        <v>1.4</v>
      </c>
      <c r="D56" s="10" t="s">
        <v>22</v>
      </c>
      <c r="E56" s="11">
        <v>4.5</v>
      </c>
      <c r="F56" s="11" t="s">
        <v>17</v>
      </c>
      <c r="G56" s="11">
        <v>4.5</v>
      </c>
      <c r="H56" s="11">
        <v>4.5</v>
      </c>
      <c r="I56" s="11">
        <v>4.5</v>
      </c>
      <c r="J56" s="11">
        <v>2.5</v>
      </c>
      <c r="K56" s="16">
        <v>4.5</v>
      </c>
      <c r="L56" s="16">
        <v>4.5</v>
      </c>
      <c r="M56" s="16" t="s">
        <v>201</v>
      </c>
      <c r="N56" s="16" t="s">
        <v>201</v>
      </c>
      <c r="O56" s="16" t="s">
        <v>201</v>
      </c>
      <c r="P56" s="16">
        <v>3.5</v>
      </c>
      <c r="Q56" s="16">
        <v>3.5</v>
      </c>
      <c r="R56" s="4">
        <v>0</v>
      </c>
      <c r="S56" s="6">
        <v>26.687100000000001</v>
      </c>
      <c r="T56" s="6">
        <v>33.5518</v>
      </c>
      <c r="U56" s="6"/>
      <c r="V56" s="6">
        <v>64.599999999999994</v>
      </c>
      <c r="W56" s="6">
        <v>91.15</v>
      </c>
      <c r="X56" s="6">
        <v>100</v>
      </c>
      <c r="Y56" s="6">
        <v>100</v>
      </c>
    </row>
    <row r="57" spans="1:25" x14ac:dyDescent="0.25">
      <c r="A57" s="1" t="s">
        <v>6</v>
      </c>
      <c r="B57" s="3" t="s">
        <v>86</v>
      </c>
      <c r="C57" s="23">
        <v>2</v>
      </c>
      <c r="D57" s="10" t="s">
        <v>17</v>
      </c>
      <c r="E57" s="11">
        <v>3.5</v>
      </c>
      <c r="F57" s="11" t="s">
        <v>18</v>
      </c>
      <c r="G57" s="11">
        <v>4.5</v>
      </c>
      <c r="H57" s="11">
        <v>4.5</v>
      </c>
      <c r="I57" s="11">
        <v>4.5</v>
      </c>
      <c r="J57" s="11">
        <v>3.5</v>
      </c>
      <c r="K57" s="16">
        <v>4.5</v>
      </c>
      <c r="L57" s="16">
        <v>4.5</v>
      </c>
      <c r="M57" s="16" t="s">
        <v>201</v>
      </c>
      <c r="N57" s="16" t="s">
        <v>201</v>
      </c>
      <c r="O57" s="16">
        <v>3.5</v>
      </c>
      <c r="P57" s="16">
        <v>3.5</v>
      </c>
      <c r="Q57" s="16">
        <v>3.5</v>
      </c>
      <c r="R57" s="4">
        <v>0</v>
      </c>
      <c r="S57" s="6">
        <v>43.461500000000001</v>
      </c>
      <c r="T57" s="6">
        <v>54.640999999999998</v>
      </c>
      <c r="U57" s="6"/>
      <c r="V57" s="6">
        <v>88.79</v>
      </c>
      <c r="W57" s="6">
        <v>97.197500000000005</v>
      </c>
      <c r="X57" s="6">
        <v>100</v>
      </c>
      <c r="Y57" s="6">
        <v>100</v>
      </c>
    </row>
    <row r="58" spans="1:25" x14ac:dyDescent="0.25">
      <c r="A58" s="1" t="s">
        <v>7</v>
      </c>
      <c r="B58" s="3" t="s">
        <v>87</v>
      </c>
      <c r="C58" s="23">
        <v>3.2</v>
      </c>
      <c r="D58" s="10" t="s">
        <v>20</v>
      </c>
      <c r="E58" s="11">
        <v>3.5</v>
      </c>
      <c r="F58" s="11">
        <v>3.5</v>
      </c>
      <c r="G58" s="11">
        <v>4.5</v>
      </c>
      <c r="H58" s="11">
        <v>4.5</v>
      </c>
      <c r="I58" s="11">
        <v>4.5</v>
      </c>
      <c r="J58" s="11">
        <v>4.5</v>
      </c>
      <c r="K58" s="16" t="s">
        <v>201</v>
      </c>
      <c r="L58" s="16" t="s">
        <v>201</v>
      </c>
      <c r="M58" s="16" t="s">
        <v>201</v>
      </c>
      <c r="N58" s="16">
        <v>3.5</v>
      </c>
      <c r="O58" s="16">
        <v>3.5</v>
      </c>
      <c r="P58" s="16">
        <v>3.5</v>
      </c>
      <c r="Q58" s="16">
        <v>3.5</v>
      </c>
      <c r="R58" s="4">
        <v>0</v>
      </c>
      <c r="S58" s="6">
        <v>24</v>
      </c>
      <c r="T58" s="6">
        <v>30</v>
      </c>
      <c r="U58" s="6"/>
      <c r="V58" s="6">
        <v>65</v>
      </c>
      <c r="W58" s="6">
        <v>93</v>
      </c>
      <c r="X58" s="6">
        <v>100</v>
      </c>
      <c r="Y58" s="6">
        <v>100</v>
      </c>
    </row>
    <row r="59" spans="1:25" x14ac:dyDescent="0.25">
      <c r="A59" s="1" t="s">
        <v>7</v>
      </c>
      <c r="B59" s="3" t="s">
        <v>88</v>
      </c>
      <c r="C59" s="23">
        <v>2.8</v>
      </c>
      <c r="D59" s="10" t="s">
        <v>22</v>
      </c>
      <c r="E59" s="11" t="s">
        <v>17</v>
      </c>
      <c r="F59" s="11" t="s">
        <v>17</v>
      </c>
      <c r="G59" s="11">
        <v>4.5</v>
      </c>
      <c r="H59" s="11" t="s">
        <v>17</v>
      </c>
      <c r="I59" s="11">
        <v>4.5</v>
      </c>
      <c r="J59" s="11">
        <v>4.5</v>
      </c>
      <c r="K59" s="16">
        <v>4.5</v>
      </c>
      <c r="L59" s="16">
        <v>4.5</v>
      </c>
      <c r="M59" s="16">
        <v>4.5</v>
      </c>
      <c r="N59" s="16">
        <v>4.5</v>
      </c>
      <c r="O59" s="16">
        <v>4.5</v>
      </c>
      <c r="P59" s="16">
        <v>4.5</v>
      </c>
      <c r="Q59" s="16" t="s">
        <v>201</v>
      </c>
      <c r="R59" s="4">
        <v>0</v>
      </c>
      <c r="S59" s="6">
        <v>45</v>
      </c>
      <c r="T59" s="6">
        <v>46</v>
      </c>
      <c r="U59" s="6"/>
      <c r="V59" s="6">
        <v>77.5</v>
      </c>
      <c r="W59" s="6">
        <v>97.5</v>
      </c>
      <c r="X59" s="6">
        <v>100</v>
      </c>
      <c r="Y59" s="6">
        <v>100</v>
      </c>
    </row>
    <row r="60" spans="1:25" x14ac:dyDescent="0.25">
      <c r="A60" s="1" t="s">
        <v>7</v>
      </c>
      <c r="B60" s="3" t="s">
        <v>89</v>
      </c>
      <c r="C60" s="21">
        <v>2</v>
      </c>
      <c r="D60" s="10">
        <v>6.5</v>
      </c>
      <c r="E60" s="11" t="s">
        <v>17</v>
      </c>
      <c r="F60" s="11" t="s">
        <v>17</v>
      </c>
      <c r="G60" s="11">
        <v>4.5</v>
      </c>
      <c r="H60" s="11">
        <v>4.5</v>
      </c>
      <c r="I60" s="11" t="s">
        <v>17</v>
      </c>
      <c r="J60" s="11" t="s">
        <v>17</v>
      </c>
      <c r="K60" s="16">
        <v>4.5</v>
      </c>
      <c r="L60" s="16">
        <v>4.5</v>
      </c>
      <c r="M60" s="16">
        <v>4.5</v>
      </c>
      <c r="N60" s="16">
        <v>4.5</v>
      </c>
      <c r="O60" s="16">
        <v>4.5</v>
      </c>
      <c r="P60" s="16" t="s">
        <v>201</v>
      </c>
      <c r="Q60" s="16" t="s">
        <v>201</v>
      </c>
      <c r="R60" s="4">
        <v>0</v>
      </c>
      <c r="S60" s="6">
        <v>47</v>
      </c>
      <c r="T60" s="6">
        <v>73</v>
      </c>
      <c r="U60" s="6"/>
      <c r="V60" s="6">
        <v>84</v>
      </c>
      <c r="W60" s="6">
        <v>99</v>
      </c>
      <c r="X60" s="6">
        <v>100</v>
      </c>
      <c r="Y60" s="6">
        <v>100</v>
      </c>
    </row>
    <row r="61" spans="1:25" x14ac:dyDescent="0.25">
      <c r="A61" s="1" t="s">
        <v>7</v>
      </c>
      <c r="B61" s="3" t="s">
        <v>90</v>
      </c>
      <c r="C61" s="21">
        <v>1.2</v>
      </c>
      <c r="D61" s="10">
        <v>4.5</v>
      </c>
      <c r="E61" s="11">
        <v>3.5</v>
      </c>
      <c r="F61" s="11">
        <v>3.5</v>
      </c>
      <c r="G61" s="11">
        <v>4.5</v>
      </c>
      <c r="H61" s="11">
        <v>4.5</v>
      </c>
      <c r="I61" s="11">
        <v>4.5</v>
      </c>
      <c r="J61" s="11">
        <v>3.5</v>
      </c>
      <c r="K61" s="16">
        <v>4.5</v>
      </c>
      <c r="L61" s="16">
        <v>4.5</v>
      </c>
      <c r="M61" s="16" t="s">
        <v>201</v>
      </c>
      <c r="N61" s="16" t="s">
        <v>201</v>
      </c>
      <c r="O61" s="16" t="s">
        <v>201</v>
      </c>
      <c r="P61" s="16">
        <v>3.5</v>
      </c>
      <c r="Q61" s="16" t="s">
        <v>202</v>
      </c>
      <c r="R61" s="14">
        <v>0</v>
      </c>
      <c r="S61" s="15">
        <v>25.522500000000001</v>
      </c>
      <c r="T61" s="15">
        <v>32.087699999999998</v>
      </c>
      <c r="U61" s="15"/>
      <c r="V61" s="15">
        <v>67.72</v>
      </c>
      <c r="W61" s="15">
        <v>91.93</v>
      </c>
      <c r="X61" s="15">
        <v>100</v>
      </c>
      <c r="Y61" s="15">
        <v>100</v>
      </c>
    </row>
    <row r="62" spans="1:25" x14ac:dyDescent="0.25">
      <c r="A62" s="1" t="s">
        <v>7</v>
      </c>
      <c r="B62" s="3" t="s">
        <v>91</v>
      </c>
      <c r="C62" s="21">
        <v>1.2</v>
      </c>
      <c r="D62" s="10" t="s">
        <v>17</v>
      </c>
      <c r="E62" s="11">
        <v>3.5</v>
      </c>
      <c r="F62" s="11">
        <v>3.5</v>
      </c>
      <c r="G62" s="11">
        <v>4.5</v>
      </c>
      <c r="H62" s="11">
        <v>4.5</v>
      </c>
      <c r="I62" s="11">
        <v>4.5</v>
      </c>
      <c r="J62" s="11" t="s">
        <v>17</v>
      </c>
      <c r="K62" s="16">
        <v>4.5</v>
      </c>
      <c r="L62" s="16">
        <v>4.5</v>
      </c>
      <c r="M62" s="16">
        <v>4.5</v>
      </c>
      <c r="N62" s="16">
        <v>4.5</v>
      </c>
      <c r="O62" s="16" t="s">
        <v>201</v>
      </c>
      <c r="P62" s="16" t="s">
        <v>201</v>
      </c>
      <c r="Q62" s="16" t="s">
        <v>201</v>
      </c>
      <c r="R62" s="4">
        <v>0</v>
      </c>
      <c r="S62" s="6">
        <v>16</v>
      </c>
      <c r="T62" s="6">
        <v>32</v>
      </c>
      <c r="U62" s="6"/>
      <c r="V62" s="6">
        <v>76</v>
      </c>
      <c r="W62" s="6">
        <v>99</v>
      </c>
      <c r="X62" s="6">
        <v>100</v>
      </c>
      <c r="Y62" s="6">
        <v>100</v>
      </c>
    </row>
    <row r="63" spans="1:25" x14ac:dyDescent="0.25">
      <c r="A63" s="1" t="s">
        <v>7</v>
      </c>
      <c r="B63" s="3" t="s">
        <v>92</v>
      </c>
      <c r="C63" s="21">
        <v>0.9</v>
      </c>
      <c r="D63" s="10" t="s">
        <v>20</v>
      </c>
      <c r="E63" s="11" t="s">
        <v>17</v>
      </c>
      <c r="F63" s="11">
        <v>2.5</v>
      </c>
      <c r="G63" s="11">
        <v>4.5</v>
      </c>
      <c r="H63" s="11">
        <v>4.5</v>
      </c>
      <c r="I63" s="11">
        <v>4.5</v>
      </c>
      <c r="J63" s="11" t="s">
        <v>17</v>
      </c>
      <c r="K63" s="16">
        <v>4.5</v>
      </c>
      <c r="L63" s="16">
        <v>4.5</v>
      </c>
      <c r="M63" s="16">
        <v>4.5</v>
      </c>
      <c r="N63" s="16">
        <v>4.5</v>
      </c>
      <c r="O63" s="16">
        <v>4.5</v>
      </c>
      <c r="P63" s="16" t="s">
        <v>201</v>
      </c>
      <c r="Q63" s="16" t="s">
        <v>201</v>
      </c>
      <c r="R63" s="4">
        <v>0</v>
      </c>
      <c r="S63" s="6">
        <v>27</v>
      </c>
      <c r="T63" s="6">
        <v>34</v>
      </c>
      <c r="U63" s="6"/>
      <c r="V63" s="6">
        <v>88.8</v>
      </c>
      <c r="W63" s="6">
        <v>99</v>
      </c>
      <c r="X63" s="6">
        <v>100</v>
      </c>
      <c r="Y63" s="6">
        <v>100</v>
      </c>
    </row>
    <row r="64" spans="1:25" x14ac:dyDescent="0.25">
      <c r="A64" s="1" t="s">
        <v>7</v>
      </c>
      <c r="B64" s="3" t="s">
        <v>93</v>
      </c>
      <c r="C64" s="21">
        <v>2</v>
      </c>
      <c r="D64" s="10">
        <v>4.5</v>
      </c>
      <c r="E64" s="11">
        <v>3.5</v>
      </c>
      <c r="F64" s="11">
        <v>2.5</v>
      </c>
      <c r="G64" s="11" t="s">
        <v>17</v>
      </c>
      <c r="H64" s="11" t="s">
        <v>17</v>
      </c>
      <c r="I64" s="11">
        <v>4.5</v>
      </c>
      <c r="J64" s="11">
        <v>4.5</v>
      </c>
      <c r="K64" s="16">
        <v>4.5</v>
      </c>
      <c r="L64" s="16">
        <v>4.5</v>
      </c>
      <c r="M64" s="16">
        <v>4.5</v>
      </c>
      <c r="N64" s="16">
        <v>4.5</v>
      </c>
      <c r="O64" s="16">
        <v>4.5</v>
      </c>
      <c r="P64" s="16">
        <v>4.5</v>
      </c>
      <c r="Q64" s="16">
        <v>4.5</v>
      </c>
      <c r="R64" s="4">
        <v>0</v>
      </c>
      <c r="S64" s="6">
        <v>31</v>
      </c>
      <c r="T64" s="6">
        <v>39</v>
      </c>
      <c r="U64" s="6"/>
      <c r="V64" s="6">
        <v>78</v>
      </c>
      <c r="W64" s="6">
        <v>96</v>
      </c>
      <c r="X64" s="6">
        <v>100</v>
      </c>
      <c r="Y64" s="6">
        <v>100</v>
      </c>
    </row>
    <row r="65" spans="1:25" x14ac:dyDescent="0.25">
      <c r="A65" s="1" t="s">
        <v>7</v>
      </c>
      <c r="B65" s="3" t="s">
        <v>94</v>
      </c>
      <c r="C65" s="21">
        <v>1.3</v>
      </c>
      <c r="D65" s="10" t="s">
        <v>17</v>
      </c>
      <c r="E65" s="11">
        <v>3.5</v>
      </c>
      <c r="F65" s="11">
        <v>2.5</v>
      </c>
      <c r="G65" s="11" t="s">
        <v>17</v>
      </c>
      <c r="H65" s="11" t="s">
        <v>17</v>
      </c>
      <c r="I65" s="11">
        <v>4.5</v>
      </c>
      <c r="J65" s="11">
        <v>3.5</v>
      </c>
      <c r="K65" s="16">
        <v>3.5</v>
      </c>
      <c r="L65" s="16" t="s">
        <v>202</v>
      </c>
      <c r="M65" s="16">
        <v>2.5</v>
      </c>
      <c r="N65" s="16">
        <v>2.5</v>
      </c>
      <c r="O65" s="16" t="s">
        <v>203</v>
      </c>
      <c r="P65" s="16" t="s">
        <v>203</v>
      </c>
      <c r="Q65" s="16">
        <v>1.5</v>
      </c>
      <c r="R65" s="4">
        <v>0</v>
      </c>
      <c r="S65" s="6">
        <v>23</v>
      </c>
      <c r="T65" s="6">
        <v>33</v>
      </c>
      <c r="U65" s="6"/>
      <c r="V65" s="6">
        <v>57</v>
      </c>
      <c r="W65" s="6">
        <v>90</v>
      </c>
      <c r="X65" s="6">
        <v>100</v>
      </c>
      <c r="Y65" s="6">
        <v>100</v>
      </c>
    </row>
    <row r="66" spans="1:25" x14ac:dyDescent="0.25">
      <c r="A66" s="1" t="s">
        <v>7</v>
      </c>
      <c r="B66" s="3" t="s">
        <v>95</v>
      </c>
      <c r="C66" s="21">
        <v>2.6</v>
      </c>
      <c r="D66" s="10">
        <v>5.5</v>
      </c>
      <c r="E66" s="11" t="s">
        <v>17</v>
      </c>
      <c r="F66" s="11">
        <v>3.5</v>
      </c>
      <c r="G66" s="11">
        <v>4.5</v>
      </c>
      <c r="H66" s="11">
        <v>4.5</v>
      </c>
      <c r="I66" s="11">
        <v>4.5</v>
      </c>
      <c r="J66" s="11">
        <v>3.5</v>
      </c>
      <c r="K66" s="16">
        <v>4.5</v>
      </c>
      <c r="L66" s="16">
        <v>4.5</v>
      </c>
      <c r="M66" s="16">
        <v>4.5</v>
      </c>
      <c r="N66" s="16">
        <v>4.5</v>
      </c>
      <c r="O66" s="16" t="s">
        <v>201</v>
      </c>
      <c r="P66" s="16">
        <v>3.5</v>
      </c>
      <c r="Q66" s="16">
        <v>3.5</v>
      </c>
      <c r="R66" s="14">
        <v>0</v>
      </c>
      <c r="S66" s="15">
        <v>37</v>
      </c>
      <c r="T66" s="15">
        <v>42</v>
      </c>
      <c r="U66" s="15"/>
      <c r="V66" s="15">
        <v>40</v>
      </c>
      <c r="W66" s="15">
        <v>81</v>
      </c>
      <c r="X66" s="15">
        <v>100</v>
      </c>
      <c r="Y66" s="15">
        <v>100</v>
      </c>
    </row>
    <row r="67" spans="1:25" x14ac:dyDescent="0.25">
      <c r="A67" s="1" t="s">
        <v>7</v>
      </c>
      <c r="B67" s="3" t="s">
        <v>96</v>
      </c>
      <c r="C67" s="21">
        <v>2.4</v>
      </c>
      <c r="D67" s="10">
        <v>4.5</v>
      </c>
      <c r="E67" s="11">
        <v>3.5</v>
      </c>
      <c r="F67" s="11" t="s">
        <v>18</v>
      </c>
      <c r="G67" s="11">
        <v>4.5</v>
      </c>
      <c r="H67" s="11">
        <v>4.5</v>
      </c>
      <c r="I67" s="11">
        <v>4.5</v>
      </c>
      <c r="J67" s="11">
        <v>4.5</v>
      </c>
      <c r="K67" s="16">
        <v>4.5</v>
      </c>
      <c r="L67" s="16">
        <v>4.5</v>
      </c>
      <c r="M67" s="16" t="s">
        <v>201</v>
      </c>
      <c r="N67" s="16" t="s">
        <v>201</v>
      </c>
      <c r="O67" s="16" t="s">
        <v>201</v>
      </c>
      <c r="P67" s="16">
        <v>3.5</v>
      </c>
      <c r="Q67" s="16">
        <v>3.5</v>
      </c>
      <c r="R67" s="4">
        <v>0</v>
      </c>
      <c r="S67" s="6">
        <v>25.651000815711853</v>
      </c>
      <c r="T67" s="6">
        <v>29.246407730438602</v>
      </c>
      <c r="U67" s="6"/>
      <c r="V67" s="6">
        <v>42.04</v>
      </c>
      <c r="W67" s="6">
        <v>78.22</v>
      </c>
      <c r="X67" s="6">
        <v>100</v>
      </c>
      <c r="Y67" s="6">
        <v>100</v>
      </c>
    </row>
    <row r="68" spans="1:25" x14ac:dyDescent="0.25">
      <c r="A68" s="1" t="s">
        <v>7</v>
      </c>
      <c r="B68" s="3" t="s">
        <v>97</v>
      </c>
      <c r="C68" s="21">
        <v>2.8</v>
      </c>
      <c r="D68" s="10">
        <v>4.5</v>
      </c>
      <c r="E68" s="11" t="s">
        <v>17</v>
      </c>
      <c r="F68" s="11">
        <v>3.5</v>
      </c>
      <c r="G68" s="11">
        <v>4.5</v>
      </c>
      <c r="H68" s="11">
        <v>4.5</v>
      </c>
      <c r="I68" s="11">
        <v>4.5</v>
      </c>
      <c r="J68" s="11">
        <v>4.5</v>
      </c>
      <c r="K68" s="16">
        <v>4.5</v>
      </c>
      <c r="L68" s="16">
        <v>4.5</v>
      </c>
      <c r="M68" s="16">
        <v>4.5</v>
      </c>
      <c r="N68" s="16" t="s">
        <v>201</v>
      </c>
      <c r="O68" s="16" t="s">
        <v>201</v>
      </c>
      <c r="P68" s="16">
        <v>3.5</v>
      </c>
      <c r="Q68" s="16">
        <v>3.5</v>
      </c>
      <c r="R68" s="4">
        <v>0</v>
      </c>
      <c r="S68" s="6">
        <v>40</v>
      </c>
      <c r="T68" s="6">
        <v>48</v>
      </c>
      <c r="U68" s="6"/>
      <c r="V68" s="6">
        <v>73</v>
      </c>
      <c r="W68" s="6">
        <v>97</v>
      </c>
      <c r="X68" s="6">
        <v>100</v>
      </c>
      <c r="Y68" s="6">
        <v>100</v>
      </c>
    </row>
    <row r="69" spans="1:25" x14ac:dyDescent="0.25">
      <c r="A69" s="1" t="s">
        <v>7</v>
      </c>
      <c r="B69" s="3" t="s">
        <v>98</v>
      </c>
      <c r="C69" s="23">
        <v>2.4</v>
      </c>
      <c r="D69" s="10" t="s">
        <v>17</v>
      </c>
      <c r="E69" s="11">
        <v>3.5</v>
      </c>
      <c r="F69" s="11" t="s">
        <v>18</v>
      </c>
      <c r="G69" s="11">
        <v>4.5</v>
      </c>
      <c r="H69" s="11">
        <v>4.5</v>
      </c>
      <c r="I69" s="11">
        <v>4.5</v>
      </c>
      <c r="J69" s="11">
        <v>4.5</v>
      </c>
      <c r="K69" s="16">
        <v>4.5</v>
      </c>
      <c r="L69" s="16">
        <v>4.5</v>
      </c>
      <c r="M69" s="16">
        <v>4.5</v>
      </c>
      <c r="N69" s="16">
        <v>4.5</v>
      </c>
      <c r="O69" s="16">
        <v>4.5</v>
      </c>
      <c r="P69" s="16">
        <v>4.5</v>
      </c>
      <c r="Q69" s="16" t="s">
        <v>201</v>
      </c>
      <c r="R69" s="4">
        <v>0</v>
      </c>
      <c r="S69" s="6">
        <v>23</v>
      </c>
      <c r="T69" s="6">
        <v>23</v>
      </c>
      <c r="U69" s="6"/>
      <c r="V69" s="6">
        <v>73</v>
      </c>
      <c r="W69" s="6">
        <v>97</v>
      </c>
      <c r="X69" s="6">
        <v>100</v>
      </c>
      <c r="Y69" s="6">
        <v>100</v>
      </c>
    </row>
    <row r="70" spans="1:25" x14ac:dyDescent="0.25">
      <c r="A70" s="1" t="s">
        <v>7</v>
      </c>
      <c r="B70" s="3" t="s">
        <v>99</v>
      </c>
      <c r="C70" s="21">
        <v>2</v>
      </c>
      <c r="D70" s="10">
        <v>4.5</v>
      </c>
      <c r="E70" s="11">
        <v>3.5</v>
      </c>
      <c r="F70" s="11" t="s">
        <v>18</v>
      </c>
      <c r="G70" s="11">
        <v>4.5</v>
      </c>
      <c r="H70" s="11">
        <v>4.5</v>
      </c>
      <c r="I70" s="11">
        <v>4.5</v>
      </c>
      <c r="J70" s="11">
        <v>4.5</v>
      </c>
      <c r="K70" s="16">
        <v>4.5</v>
      </c>
      <c r="L70" s="16">
        <v>4.5</v>
      </c>
      <c r="M70" s="16">
        <v>4.5</v>
      </c>
      <c r="N70" s="16">
        <v>4.5</v>
      </c>
      <c r="O70" s="16" t="s">
        <v>201</v>
      </c>
      <c r="P70" s="16" t="s">
        <v>201</v>
      </c>
      <c r="Q70" s="16" t="s">
        <v>201</v>
      </c>
      <c r="R70" s="4">
        <v>0</v>
      </c>
      <c r="S70" s="6">
        <v>28</v>
      </c>
      <c r="T70" s="6">
        <v>29</v>
      </c>
      <c r="U70" s="6"/>
      <c r="V70" s="6">
        <v>77</v>
      </c>
      <c r="W70" s="6">
        <v>95</v>
      </c>
      <c r="X70" s="6">
        <v>100</v>
      </c>
      <c r="Y70" s="6">
        <v>100</v>
      </c>
    </row>
    <row r="71" spans="1:25" x14ac:dyDescent="0.25">
      <c r="A71" s="1" t="s">
        <v>7</v>
      </c>
      <c r="B71" s="3" t="s">
        <v>100</v>
      </c>
      <c r="C71" s="21">
        <v>5</v>
      </c>
      <c r="D71" s="10" t="s">
        <v>20</v>
      </c>
      <c r="E71" s="11">
        <v>4.5</v>
      </c>
      <c r="F71" s="11">
        <v>3.5</v>
      </c>
      <c r="G71" s="11">
        <v>4.5</v>
      </c>
      <c r="H71" s="11">
        <v>4.5</v>
      </c>
      <c r="I71" s="11">
        <v>4.5</v>
      </c>
      <c r="J71" s="11">
        <v>4.5</v>
      </c>
      <c r="K71" s="16">
        <v>4.5</v>
      </c>
      <c r="L71" s="16">
        <v>4.5</v>
      </c>
      <c r="M71" s="16">
        <v>4.5</v>
      </c>
      <c r="N71" s="16">
        <v>4.5</v>
      </c>
      <c r="O71" s="16" t="s">
        <v>201</v>
      </c>
      <c r="P71" s="16" t="s">
        <v>201</v>
      </c>
      <c r="Q71" s="16" t="s">
        <v>201</v>
      </c>
      <c r="R71" s="7">
        <v>0</v>
      </c>
      <c r="S71" s="8">
        <v>25</v>
      </c>
      <c r="T71" s="8">
        <v>54</v>
      </c>
      <c r="U71" s="8"/>
      <c r="V71" s="8">
        <v>65</v>
      </c>
      <c r="W71" s="8">
        <v>85</v>
      </c>
      <c r="X71" s="8">
        <v>100</v>
      </c>
      <c r="Y71" s="8">
        <v>100</v>
      </c>
    </row>
    <row r="72" spans="1:25" x14ac:dyDescent="0.25">
      <c r="A72" s="1" t="s">
        <v>8</v>
      </c>
      <c r="B72" s="3" t="s">
        <v>101</v>
      </c>
      <c r="C72" s="21">
        <v>2.7</v>
      </c>
      <c r="D72" s="10" t="s">
        <v>20</v>
      </c>
      <c r="E72" s="11" t="s">
        <v>17</v>
      </c>
      <c r="F72" s="11">
        <v>3.5</v>
      </c>
      <c r="G72" s="11">
        <v>4.5</v>
      </c>
      <c r="H72" s="11">
        <v>4.5</v>
      </c>
      <c r="I72" s="11">
        <v>3.5</v>
      </c>
      <c r="J72" s="11" t="s">
        <v>18</v>
      </c>
      <c r="K72" s="16">
        <v>4.5</v>
      </c>
      <c r="L72" s="16" t="s">
        <v>201</v>
      </c>
      <c r="M72" s="16" t="s">
        <v>201</v>
      </c>
      <c r="N72" s="16" t="s">
        <v>201</v>
      </c>
      <c r="O72" s="16" t="s">
        <v>201</v>
      </c>
      <c r="P72" s="16">
        <v>3.5</v>
      </c>
      <c r="Q72" s="16">
        <v>3.5</v>
      </c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" t="s">
        <v>8</v>
      </c>
      <c r="B73" s="3" t="s">
        <v>102</v>
      </c>
      <c r="C73" s="21">
        <v>2.2000000000000002</v>
      </c>
      <c r="D73" s="10" t="s">
        <v>20</v>
      </c>
      <c r="E73" s="11" t="s">
        <v>17</v>
      </c>
      <c r="F73" s="11">
        <v>3.5</v>
      </c>
      <c r="G73" s="11">
        <v>4.5</v>
      </c>
      <c r="H73" s="11">
        <v>4.5</v>
      </c>
      <c r="I73" s="11">
        <v>3.5</v>
      </c>
      <c r="J73" s="11" t="s">
        <v>18</v>
      </c>
      <c r="K73" s="16">
        <v>4.5</v>
      </c>
      <c r="L73" s="16">
        <v>4.5</v>
      </c>
      <c r="M73" s="16" t="s">
        <v>201</v>
      </c>
      <c r="N73" s="16" t="s">
        <v>201</v>
      </c>
      <c r="O73" s="16">
        <v>3.5</v>
      </c>
      <c r="P73" s="16">
        <v>3.5</v>
      </c>
      <c r="Q73" s="16" t="s">
        <v>202</v>
      </c>
      <c r="R73" s="4">
        <v>0</v>
      </c>
      <c r="S73" s="6">
        <v>49.3626</v>
      </c>
      <c r="T73" s="6">
        <v>62.060099999999998</v>
      </c>
      <c r="U73" s="6"/>
      <c r="V73" s="6">
        <v>55.76</v>
      </c>
      <c r="W73" s="6">
        <v>88.94</v>
      </c>
      <c r="X73" s="6">
        <v>100</v>
      </c>
      <c r="Y73" s="6">
        <v>100</v>
      </c>
    </row>
    <row r="74" spans="1:25" x14ac:dyDescent="0.25">
      <c r="A74" s="1" t="s">
        <v>8</v>
      </c>
      <c r="B74" s="3" t="s">
        <v>103</v>
      </c>
      <c r="C74" s="22">
        <v>2</v>
      </c>
      <c r="D74" s="10" t="s">
        <v>20</v>
      </c>
      <c r="E74" s="11" t="s">
        <v>17</v>
      </c>
      <c r="F74" s="11">
        <v>3.5</v>
      </c>
      <c r="G74" s="11">
        <v>4.5</v>
      </c>
      <c r="H74" s="11">
        <v>4.5</v>
      </c>
      <c r="I74" s="11">
        <v>3.5</v>
      </c>
      <c r="J74" s="11">
        <v>3.5</v>
      </c>
      <c r="K74" s="16">
        <v>4.5</v>
      </c>
      <c r="L74" s="16" t="s">
        <v>201</v>
      </c>
      <c r="M74" s="16" t="s">
        <v>201</v>
      </c>
      <c r="N74" s="16" t="s">
        <v>201</v>
      </c>
      <c r="O74" s="16" t="s">
        <v>201</v>
      </c>
      <c r="P74" s="16" t="s">
        <v>201</v>
      </c>
      <c r="Q74" s="16" t="s">
        <v>201</v>
      </c>
      <c r="R74" s="14">
        <v>0</v>
      </c>
      <c r="S74" s="15">
        <v>44.628399999999999</v>
      </c>
      <c r="T74" s="15">
        <v>56.1081</v>
      </c>
      <c r="U74" s="15"/>
      <c r="V74" s="15">
        <v>39.03</v>
      </c>
      <c r="W74" s="15">
        <v>84.757499999999993</v>
      </c>
      <c r="X74" s="15">
        <v>100</v>
      </c>
      <c r="Y74" s="15">
        <v>100</v>
      </c>
    </row>
    <row r="75" spans="1:25" x14ac:dyDescent="0.25">
      <c r="A75" s="1" t="s">
        <v>8</v>
      </c>
      <c r="B75" s="3" t="s">
        <v>104</v>
      </c>
      <c r="C75" s="21">
        <v>0.9</v>
      </c>
      <c r="D75" s="10">
        <v>4.5</v>
      </c>
      <c r="E75" s="11" t="s">
        <v>17</v>
      </c>
      <c r="F75" s="11">
        <v>3.5</v>
      </c>
      <c r="G75" s="11">
        <v>4.5</v>
      </c>
      <c r="H75" s="11">
        <v>4.5</v>
      </c>
      <c r="I75" s="11">
        <v>4.5</v>
      </c>
      <c r="J75" s="11" t="s">
        <v>18</v>
      </c>
      <c r="K75" s="16">
        <v>4.5</v>
      </c>
      <c r="L75" s="16">
        <v>4.5</v>
      </c>
      <c r="M75" s="16">
        <v>4.5</v>
      </c>
      <c r="N75" s="16" t="s">
        <v>201</v>
      </c>
      <c r="O75" s="16">
        <v>3.5</v>
      </c>
      <c r="P75" s="16">
        <v>3.5</v>
      </c>
      <c r="Q75" s="16">
        <v>3.5</v>
      </c>
      <c r="R75" s="4">
        <v>0</v>
      </c>
      <c r="S75" s="6">
        <v>26.4437</v>
      </c>
      <c r="T75" s="6">
        <v>33.245800000000003</v>
      </c>
      <c r="U75" s="6"/>
      <c r="V75" s="6">
        <v>65.08</v>
      </c>
      <c r="W75" s="6">
        <v>91.27</v>
      </c>
      <c r="X75" s="6">
        <v>100</v>
      </c>
      <c r="Y75" s="6">
        <v>100</v>
      </c>
    </row>
    <row r="76" spans="1:25" x14ac:dyDescent="0.25">
      <c r="A76" s="1" t="s">
        <v>8</v>
      </c>
      <c r="B76" s="3" t="s">
        <v>105</v>
      </c>
      <c r="C76" s="21">
        <v>1.2</v>
      </c>
      <c r="D76" s="10" t="s">
        <v>17</v>
      </c>
      <c r="E76" s="11">
        <v>3.5</v>
      </c>
      <c r="F76" s="11">
        <v>2.5</v>
      </c>
      <c r="G76" s="11">
        <v>3.5</v>
      </c>
      <c r="H76" s="11">
        <v>3.5</v>
      </c>
      <c r="I76" s="11" t="s">
        <v>17</v>
      </c>
      <c r="J76" s="11">
        <v>3.5</v>
      </c>
      <c r="K76" s="16">
        <v>4.5</v>
      </c>
      <c r="L76" s="16">
        <v>4.5</v>
      </c>
      <c r="M76" s="16">
        <v>4.5</v>
      </c>
      <c r="N76" s="16">
        <v>4.5</v>
      </c>
      <c r="O76" s="16" t="s">
        <v>201</v>
      </c>
      <c r="P76" s="16" t="s">
        <v>201</v>
      </c>
      <c r="Q76" s="16" t="s">
        <v>201</v>
      </c>
      <c r="R76" s="4">
        <v>0</v>
      </c>
      <c r="S76" s="6">
        <v>54</v>
      </c>
      <c r="T76" s="6">
        <v>68</v>
      </c>
      <c r="U76" s="6"/>
      <c r="V76" s="6">
        <v>49</v>
      </c>
      <c r="W76" s="6">
        <v>90</v>
      </c>
      <c r="X76" s="6">
        <v>100</v>
      </c>
      <c r="Y76" s="6">
        <v>100</v>
      </c>
    </row>
    <row r="77" spans="1:25" x14ac:dyDescent="0.25">
      <c r="A77" s="1" t="s">
        <v>8</v>
      </c>
      <c r="B77" s="3" t="s">
        <v>206</v>
      </c>
      <c r="C77" s="21">
        <v>1.2</v>
      </c>
      <c r="D77" s="10" t="s">
        <v>17</v>
      </c>
      <c r="E77" s="11">
        <v>3.5</v>
      </c>
      <c r="F77" s="11">
        <v>2.5</v>
      </c>
      <c r="G77" s="11">
        <v>3.5</v>
      </c>
      <c r="H77" s="11">
        <v>3.5</v>
      </c>
      <c r="I77" s="11" t="s">
        <v>17</v>
      </c>
      <c r="J77" s="11">
        <v>3.5</v>
      </c>
      <c r="K77" s="16">
        <v>4.5</v>
      </c>
      <c r="L77" s="16">
        <v>4.5</v>
      </c>
      <c r="M77" s="16">
        <v>4.5</v>
      </c>
      <c r="N77" s="16">
        <v>4.5</v>
      </c>
      <c r="O77" s="16" t="s">
        <v>201</v>
      </c>
      <c r="P77" s="16" t="s">
        <v>201</v>
      </c>
      <c r="Q77" s="16" t="s">
        <v>201</v>
      </c>
      <c r="R77" s="4">
        <v>0</v>
      </c>
      <c r="S77" s="6">
        <v>53</v>
      </c>
      <c r="T77" s="6">
        <v>67</v>
      </c>
      <c r="U77" s="6"/>
      <c r="V77" s="6">
        <v>45</v>
      </c>
      <c r="W77" s="6">
        <v>84</v>
      </c>
      <c r="X77" s="6">
        <v>100</v>
      </c>
      <c r="Y77" s="6">
        <v>100</v>
      </c>
    </row>
    <row r="78" spans="1:25" x14ac:dyDescent="0.25">
      <c r="A78" s="1" t="s">
        <v>8</v>
      </c>
      <c r="B78" s="3" t="s">
        <v>106</v>
      </c>
      <c r="C78" s="21">
        <v>1.3</v>
      </c>
      <c r="D78" s="10" t="s">
        <v>17</v>
      </c>
      <c r="E78" s="11">
        <v>3.5</v>
      </c>
      <c r="F78" s="11">
        <v>2.5</v>
      </c>
      <c r="G78" s="11" t="s">
        <v>17</v>
      </c>
      <c r="H78" s="11" t="s">
        <v>17</v>
      </c>
      <c r="I78" s="11">
        <v>4.5</v>
      </c>
      <c r="J78" s="11" t="s">
        <v>18</v>
      </c>
      <c r="K78" s="16">
        <v>3.5</v>
      </c>
      <c r="L78" s="16" t="s">
        <v>202</v>
      </c>
      <c r="M78" s="16">
        <v>2.5</v>
      </c>
      <c r="N78" s="16">
        <v>2.5</v>
      </c>
      <c r="O78" s="16" t="s">
        <v>203</v>
      </c>
      <c r="P78" s="16" t="s">
        <v>203</v>
      </c>
      <c r="Q78" s="16">
        <v>1.5</v>
      </c>
      <c r="R78" s="14">
        <v>0</v>
      </c>
      <c r="S78" s="15">
        <v>23</v>
      </c>
      <c r="T78" s="15">
        <v>33</v>
      </c>
      <c r="U78" s="15"/>
      <c r="V78" s="15">
        <v>57</v>
      </c>
      <c r="W78" s="15">
        <v>90</v>
      </c>
      <c r="X78" s="15">
        <v>100</v>
      </c>
      <c r="Y78" s="15">
        <v>100</v>
      </c>
    </row>
    <row r="79" spans="1:25" x14ac:dyDescent="0.25">
      <c r="A79" s="1" t="s">
        <v>8</v>
      </c>
      <c r="B79" s="3" t="s">
        <v>107</v>
      </c>
      <c r="C79" s="21">
        <v>0.9</v>
      </c>
      <c r="D79" s="10">
        <v>4.5</v>
      </c>
      <c r="E79" s="11">
        <v>3.5</v>
      </c>
      <c r="F79" s="11" t="s">
        <v>18</v>
      </c>
      <c r="G79" s="11">
        <v>4.5</v>
      </c>
      <c r="H79" s="11">
        <v>4.5</v>
      </c>
      <c r="I79" s="11" t="s">
        <v>17</v>
      </c>
      <c r="J79" s="11">
        <v>4.5</v>
      </c>
      <c r="K79" s="16">
        <v>4.5</v>
      </c>
      <c r="L79" s="16">
        <v>4.5</v>
      </c>
      <c r="M79" s="16">
        <v>4.5</v>
      </c>
      <c r="N79" s="16">
        <v>4.5</v>
      </c>
      <c r="O79" s="16">
        <v>4.5</v>
      </c>
      <c r="P79" s="16" t="s">
        <v>201</v>
      </c>
      <c r="Q79" s="16" t="s">
        <v>201</v>
      </c>
      <c r="R79" s="4">
        <v>0</v>
      </c>
      <c r="S79" s="6">
        <v>48.580599999999997</v>
      </c>
      <c r="T79" s="6">
        <v>61.076900000000002</v>
      </c>
      <c r="U79" s="6"/>
      <c r="V79" s="6">
        <v>83.65</v>
      </c>
      <c r="W79" s="6">
        <v>95.912499999999994</v>
      </c>
      <c r="X79" s="6">
        <v>100</v>
      </c>
      <c r="Y79" s="6">
        <v>100</v>
      </c>
    </row>
    <row r="80" spans="1:25" x14ac:dyDescent="0.25">
      <c r="A80" s="1" t="s">
        <v>8</v>
      </c>
      <c r="B80" s="3" t="s">
        <v>108</v>
      </c>
      <c r="C80" s="24">
        <v>1.7</v>
      </c>
      <c r="D80" s="10" t="s">
        <v>22</v>
      </c>
      <c r="E80" s="11">
        <v>4.5</v>
      </c>
      <c r="F80" s="11" t="s">
        <v>17</v>
      </c>
      <c r="G80" s="11">
        <v>4.5</v>
      </c>
      <c r="H80" s="11">
        <v>4.5</v>
      </c>
      <c r="I80" s="11" t="s">
        <v>17</v>
      </c>
      <c r="J80" s="11" t="s">
        <v>19</v>
      </c>
      <c r="K80" s="16">
        <v>4.5</v>
      </c>
      <c r="L80" s="16" t="s">
        <v>201</v>
      </c>
      <c r="M80" s="16" t="s">
        <v>201</v>
      </c>
      <c r="N80" s="16">
        <v>3.5</v>
      </c>
      <c r="O80" s="16">
        <v>3.5</v>
      </c>
      <c r="P80" s="16" t="s">
        <v>202</v>
      </c>
      <c r="Q80" s="16" t="s">
        <v>202</v>
      </c>
      <c r="R80" s="4">
        <v>0</v>
      </c>
      <c r="S80" s="6">
        <v>35.300699999999999</v>
      </c>
      <c r="T80" s="6">
        <v>44.381100000000004</v>
      </c>
      <c r="U80" s="6"/>
      <c r="V80" s="6">
        <v>39.450000000000003</v>
      </c>
      <c r="W80" s="6">
        <v>84.862499999999997</v>
      </c>
      <c r="X80" s="6">
        <v>100</v>
      </c>
      <c r="Y80" s="6">
        <v>100</v>
      </c>
    </row>
    <row r="81" spans="1:25" x14ac:dyDescent="0.25">
      <c r="A81" s="1" t="s">
        <v>8</v>
      </c>
      <c r="B81" s="3" t="s">
        <v>109</v>
      </c>
      <c r="C81" s="25">
        <v>1.7</v>
      </c>
      <c r="D81" s="10" t="s">
        <v>20</v>
      </c>
      <c r="E81" s="11" t="s">
        <v>17</v>
      </c>
      <c r="F81" s="11" t="s">
        <v>18</v>
      </c>
      <c r="G81" s="11">
        <v>4.5</v>
      </c>
      <c r="H81" s="11">
        <v>4.5</v>
      </c>
      <c r="I81" s="11" t="s">
        <v>17</v>
      </c>
      <c r="J81" s="11">
        <v>2.5</v>
      </c>
      <c r="K81" s="16">
        <v>4.5</v>
      </c>
      <c r="L81" s="16" t="s">
        <v>201</v>
      </c>
      <c r="M81" s="16" t="s">
        <v>201</v>
      </c>
      <c r="N81" s="16">
        <v>3.5</v>
      </c>
      <c r="O81" s="16">
        <v>3.5</v>
      </c>
      <c r="P81" s="16" t="s">
        <v>202</v>
      </c>
      <c r="Q81" s="16">
        <v>2.5</v>
      </c>
      <c r="R81" s="4">
        <v>0</v>
      </c>
      <c r="S81" s="6">
        <v>54.305300000000003</v>
      </c>
      <c r="T81" s="6">
        <v>68.274299999999997</v>
      </c>
      <c r="U81" s="6"/>
      <c r="V81" s="6">
        <v>53.44</v>
      </c>
      <c r="W81" s="6">
        <v>88.36</v>
      </c>
      <c r="X81" s="6">
        <v>100</v>
      </c>
      <c r="Y81" s="6">
        <v>100</v>
      </c>
    </row>
    <row r="82" spans="1:25" x14ac:dyDescent="0.25">
      <c r="A82" s="1" t="s">
        <v>8</v>
      </c>
      <c r="B82" s="3" t="s">
        <v>110</v>
      </c>
      <c r="C82" s="23">
        <v>2.1</v>
      </c>
      <c r="D82" s="10" t="s">
        <v>17</v>
      </c>
      <c r="E82" s="11">
        <v>3.5</v>
      </c>
      <c r="F82" s="11" t="s">
        <v>18</v>
      </c>
      <c r="G82" s="11">
        <v>4.5</v>
      </c>
      <c r="H82" s="11">
        <v>4.5</v>
      </c>
      <c r="I82" s="11">
        <v>4.5</v>
      </c>
      <c r="J82" s="11">
        <v>3.5</v>
      </c>
      <c r="K82" s="16">
        <v>4.5</v>
      </c>
      <c r="L82" s="16">
        <v>4.5</v>
      </c>
      <c r="M82" s="16">
        <v>4.5</v>
      </c>
      <c r="N82" s="16" t="s">
        <v>201</v>
      </c>
      <c r="O82" s="16" t="s">
        <v>201</v>
      </c>
      <c r="P82" s="16">
        <v>3.5</v>
      </c>
      <c r="Q82" s="16">
        <v>3.5</v>
      </c>
      <c r="R82" s="4">
        <v>0</v>
      </c>
      <c r="S82" s="6">
        <v>29.882999999999999</v>
      </c>
      <c r="T82" s="6">
        <v>37.569699999999997</v>
      </c>
      <c r="U82" s="6"/>
      <c r="V82" s="6">
        <v>48.28</v>
      </c>
      <c r="W82" s="6">
        <v>87.07</v>
      </c>
      <c r="X82" s="6">
        <v>100</v>
      </c>
      <c r="Y82" s="6">
        <v>100</v>
      </c>
    </row>
    <row r="83" spans="1:25" x14ac:dyDescent="0.25">
      <c r="A83" s="1" t="s">
        <v>15</v>
      </c>
      <c r="B83" s="3" t="s">
        <v>111</v>
      </c>
      <c r="C83" s="21">
        <v>1.2</v>
      </c>
      <c r="D83" s="10">
        <v>4.5</v>
      </c>
      <c r="E83" s="11">
        <v>3.5</v>
      </c>
      <c r="F83" s="11">
        <v>3.5</v>
      </c>
      <c r="G83" s="11">
        <v>4.5</v>
      </c>
      <c r="H83" s="11">
        <v>4.5</v>
      </c>
      <c r="I83" s="11">
        <v>4.5</v>
      </c>
      <c r="J83" s="11" t="s">
        <v>18</v>
      </c>
      <c r="K83" s="16">
        <v>4.5</v>
      </c>
      <c r="L83" s="16">
        <v>4.5</v>
      </c>
      <c r="M83" s="16" t="s">
        <v>201</v>
      </c>
      <c r="N83" s="16" t="s">
        <v>201</v>
      </c>
      <c r="O83" s="16" t="s">
        <v>201</v>
      </c>
      <c r="P83" s="16">
        <v>3.5</v>
      </c>
      <c r="Q83" s="16" t="s">
        <v>202</v>
      </c>
      <c r="R83" s="4">
        <v>0</v>
      </c>
      <c r="S83" s="6">
        <v>25.522500000000001</v>
      </c>
      <c r="T83" s="6">
        <v>32.087699999999998</v>
      </c>
      <c r="U83" s="6"/>
      <c r="V83" s="6">
        <v>67.72</v>
      </c>
      <c r="W83" s="6">
        <v>91.93</v>
      </c>
      <c r="X83" s="6">
        <v>100</v>
      </c>
      <c r="Y83" s="6">
        <v>100</v>
      </c>
    </row>
    <row r="84" spans="1:25" x14ac:dyDescent="0.25">
      <c r="A84" s="1" t="s">
        <v>15</v>
      </c>
      <c r="B84" s="3" t="s">
        <v>112</v>
      </c>
      <c r="C84" s="21">
        <v>1.2</v>
      </c>
      <c r="D84" s="10" t="s">
        <v>17</v>
      </c>
      <c r="E84" s="11" t="s">
        <v>17</v>
      </c>
      <c r="F84" s="11" t="s">
        <v>18</v>
      </c>
      <c r="G84" s="11">
        <v>4.5</v>
      </c>
      <c r="H84" s="11">
        <v>4.5</v>
      </c>
      <c r="I84" s="11" t="s">
        <v>17</v>
      </c>
      <c r="J84" s="11" t="s">
        <v>18</v>
      </c>
      <c r="K84" s="16">
        <v>4.5</v>
      </c>
      <c r="L84" s="16">
        <v>4.5</v>
      </c>
      <c r="M84" s="16" t="s">
        <v>201</v>
      </c>
      <c r="N84" s="16" t="s">
        <v>201</v>
      </c>
      <c r="O84" s="16" t="s">
        <v>201</v>
      </c>
      <c r="P84" s="16">
        <v>3.5</v>
      </c>
      <c r="Q84" s="16" t="s">
        <v>202</v>
      </c>
      <c r="R84" s="4">
        <v>0</v>
      </c>
      <c r="S84" s="6">
        <v>45.353900000000003</v>
      </c>
      <c r="T84" s="6">
        <v>57.020299999999999</v>
      </c>
      <c r="U84" s="6"/>
      <c r="V84" s="6">
        <v>67.77</v>
      </c>
      <c r="W84" s="6">
        <v>91.942499999999995</v>
      </c>
      <c r="X84" s="6">
        <v>100</v>
      </c>
      <c r="Y84" s="6">
        <v>100</v>
      </c>
    </row>
    <row r="85" spans="1:25" x14ac:dyDescent="0.25">
      <c r="A85" s="1" t="s">
        <v>15</v>
      </c>
      <c r="B85" s="3" t="s">
        <v>113</v>
      </c>
      <c r="C85" s="21">
        <v>1.4</v>
      </c>
      <c r="D85" s="10" t="s">
        <v>17</v>
      </c>
      <c r="E85" s="11">
        <v>3.5</v>
      </c>
      <c r="F85" s="11">
        <v>2.5</v>
      </c>
      <c r="G85" s="11">
        <v>4.5</v>
      </c>
      <c r="H85" s="11">
        <v>4.5</v>
      </c>
      <c r="I85" s="11" t="s">
        <v>17</v>
      </c>
      <c r="J85" s="11" t="s">
        <v>18</v>
      </c>
      <c r="K85" s="16">
        <v>4.5</v>
      </c>
      <c r="L85" s="16">
        <v>4.5</v>
      </c>
      <c r="M85" s="16">
        <v>4.5</v>
      </c>
      <c r="N85" s="16" t="s">
        <v>201</v>
      </c>
      <c r="O85" s="16">
        <v>3.5</v>
      </c>
      <c r="P85" s="16" t="s">
        <v>202</v>
      </c>
      <c r="Q85" s="16" t="s">
        <v>202</v>
      </c>
      <c r="R85" s="4">
        <v>0</v>
      </c>
      <c r="S85" s="6">
        <v>41.556899999999999</v>
      </c>
      <c r="T85" s="6">
        <v>52.246499999999997</v>
      </c>
      <c r="U85" s="6"/>
      <c r="V85" s="6">
        <v>61.16</v>
      </c>
      <c r="W85" s="6">
        <v>90.29</v>
      </c>
      <c r="X85" s="6">
        <v>100</v>
      </c>
      <c r="Y85" s="6">
        <v>100</v>
      </c>
    </row>
    <row r="86" spans="1:25" x14ac:dyDescent="0.25">
      <c r="A86" s="1" t="s">
        <v>15</v>
      </c>
      <c r="B86" s="3" t="s">
        <v>114</v>
      </c>
      <c r="C86" s="21">
        <v>1.8</v>
      </c>
      <c r="D86" s="10">
        <v>4.5</v>
      </c>
      <c r="E86" s="11">
        <v>3.5</v>
      </c>
      <c r="F86" s="11">
        <v>2.5</v>
      </c>
      <c r="G86" s="11">
        <v>4.5</v>
      </c>
      <c r="H86" s="11">
        <v>4.5</v>
      </c>
      <c r="I86" s="11" t="s">
        <v>17</v>
      </c>
      <c r="J86" s="11">
        <v>4.5</v>
      </c>
      <c r="K86" s="16">
        <v>4.5</v>
      </c>
      <c r="L86" s="16">
        <v>4.5</v>
      </c>
      <c r="M86" s="16">
        <v>4.5</v>
      </c>
      <c r="N86" s="16">
        <v>4.5</v>
      </c>
      <c r="O86" s="16">
        <v>4.5</v>
      </c>
      <c r="P86" s="16">
        <v>4.5</v>
      </c>
      <c r="Q86" s="16">
        <v>4.5</v>
      </c>
      <c r="R86" s="4">
        <v>0</v>
      </c>
      <c r="S86" s="6">
        <v>38.585900000000002</v>
      </c>
      <c r="T86" s="6">
        <v>48.511299999999999</v>
      </c>
      <c r="U86" s="6"/>
      <c r="V86" s="6">
        <v>46.21</v>
      </c>
      <c r="W86" s="6">
        <v>86.552499999999995</v>
      </c>
      <c r="X86" s="6">
        <v>100</v>
      </c>
      <c r="Y86" s="6">
        <v>100</v>
      </c>
    </row>
    <row r="87" spans="1:25" x14ac:dyDescent="0.25">
      <c r="A87" s="1" t="s">
        <v>15</v>
      </c>
      <c r="B87" s="3" t="s">
        <v>115</v>
      </c>
      <c r="C87" s="22">
        <v>1.2</v>
      </c>
      <c r="D87" s="10" t="s">
        <v>17</v>
      </c>
      <c r="E87" s="11">
        <v>3.5</v>
      </c>
      <c r="F87" s="11">
        <v>2.5</v>
      </c>
      <c r="G87" s="11">
        <v>4.5</v>
      </c>
      <c r="H87" s="11">
        <v>4.5</v>
      </c>
      <c r="I87" s="11" t="s">
        <v>17</v>
      </c>
      <c r="J87" s="11">
        <v>4.5</v>
      </c>
      <c r="K87" s="16">
        <v>4.5</v>
      </c>
      <c r="L87" s="16">
        <v>4.5</v>
      </c>
      <c r="M87" s="16">
        <v>4.5</v>
      </c>
      <c r="N87" s="16">
        <v>4.5</v>
      </c>
      <c r="O87" s="16">
        <v>4.5</v>
      </c>
      <c r="P87" s="16">
        <v>4.5</v>
      </c>
      <c r="Q87" s="16">
        <v>4.5</v>
      </c>
      <c r="R87" s="4">
        <v>0</v>
      </c>
      <c r="S87" s="6">
        <v>40.878300000000003</v>
      </c>
      <c r="T87" s="6">
        <v>51.3934</v>
      </c>
      <c r="U87" s="6"/>
      <c r="V87" s="6">
        <v>71.94</v>
      </c>
      <c r="W87" s="6">
        <v>92.984999999999999</v>
      </c>
      <c r="X87" s="6">
        <v>100</v>
      </c>
      <c r="Y87" s="6">
        <v>100</v>
      </c>
    </row>
    <row r="88" spans="1:25" x14ac:dyDescent="0.25">
      <c r="A88" s="1" t="s">
        <v>15</v>
      </c>
      <c r="B88" s="3" t="s">
        <v>116</v>
      </c>
      <c r="C88" s="23">
        <v>2</v>
      </c>
      <c r="D88" s="10" t="s">
        <v>17</v>
      </c>
      <c r="E88" s="11">
        <v>3.5</v>
      </c>
      <c r="F88" s="11" t="s">
        <v>18</v>
      </c>
      <c r="G88" s="11">
        <v>4.5</v>
      </c>
      <c r="H88" s="11">
        <v>4.5</v>
      </c>
      <c r="I88" s="11" t="s">
        <v>17</v>
      </c>
      <c r="J88" s="11" t="s">
        <v>19</v>
      </c>
      <c r="K88" s="16">
        <v>4.5</v>
      </c>
      <c r="L88" s="16">
        <v>4.5</v>
      </c>
      <c r="M88" s="16">
        <v>4.5</v>
      </c>
      <c r="N88" s="16">
        <v>4.5</v>
      </c>
      <c r="O88" s="16">
        <v>4.5</v>
      </c>
      <c r="P88" s="16">
        <v>4.5</v>
      </c>
      <c r="Q88" s="16">
        <v>4.5</v>
      </c>
      <c r="R88" s="4">
        <v>0</v>
      </c>
      <c r="S88" s="6">
        <v>31.7163</v>
      </c>
      <c r="T88" s="6">
        <v>39.874600000000001</v>
      </c>
      <c r="U88" s="6"/>
      <c r="V88" s="6">
        <v>48.38</v>
      </c>
      <c r="W88" s="6">
        <v>87.094999999999999</v>
      </c>
      <c r="X88" s="6">
        <v>100</v>
      </c>
      <c r="Y88" s="6">
        <v>100</v>
      </c>
    </row>
    <row r="89" spans="1:25" x14ac:dyDescent="0.25">
      <c r="A89" s="1" t="s">
        <v>15</v>
      </c>
      <c r="B89" s="3" t="s">
        <v>117</v>
      </c>
      <c r="C89" s="23">
        <v>2.1</v>
      </c>
      <c r="D89" s="10" t="s">
        <v>17</v>
      </c>
      <c r="E89" s="11">
        <v>3.5</v>
      </c>
      <c r="F89" s="11" t="s">
        <v>18</v>
      </c>
      <c r="G89" s="11">
        <v>4.5</v>
      </c>
      <c r="H89" s="11">
        <v>4.5</v>
      </c>
      <c r="I89" s="11" t="s">
        <v>17</v>
      </c>
      <c r="J89" s="11">
        <v>3.5</v>
      </c>
      <c r="K89" s="16">
        <v>4.5</v>
      </c>
      <c r="L89" s="16">
        <v>4.5</v>
      </c>
      <c r="M89" s="16">
        <v>4.5</v>
      </c>
      <c r="N89" s="16">
        <v>4.5</v>
      </c>
      <c r="O89" s="16" t="s">
        <v>201</v>
      </c>
      <c r="P89" s="16">
        <v>3.5</v>
      </c>
      <c r="Q89" s="16">
        <v>3.5</v>
      </c>
      <c r="R89" s="4">
        <v>0</v>
      </c>
      <c r="S89" s="6">
        <v>39.660499999999999</v>
      </c>
      <c r="T89" s="6">
        <v>49.862299999999998</v>
      </c>
      <c r="U89" s="6"/>
      <c r="V89" s="6">
        <v>51.41</v>
      </c>
      <c r="W89" s="6">
        <v>87.852500000000006</v>
      </c>
      <c r="X89" s="6">
        <v>100</v>
      </c>
      <c r="Y89" s="6">
        <v>100</v>
      </c>
    </row>
    <row r="90" spans="1:25" x14ac:dyDescent="0.25">
      <c r="A90" s="1" t="s">
        <v>15</v>
      </c>
      <c r="B90" s="3" t="s">
        <v>118</v>
      </c>
      <c r="C90" s="23">
        <v>2.4</v>
      </c>
      <c r="D90" s="10">
        <v>4.5</v>
      </c>
      <c r="E90" s="11" t="s">
        <v>17</v>
      </c>
      <c r="F90" s="11">
        <v>3.5</v>
      </c>
      <c r="G90" s="11">
        <v>4.5</v>
      </c>
      <c r="H90" s="11">
        <v>4.5</v>
      </c>
      <c r="I90" s="11">
        <v>4.5</v>
      </c>
      <c r="J90" s="11" t="s">
        <v>18</v>
      </c>
      <c r="K90" s="16">
        <v>4.5</v>
      </c>
      <c r="L90" s="16" t="s">
        <v>201</v>
      </c>
      <c r="M90" s="16">
        <v>3.5</v>
      </c>
      <c r="N90" s="16">
        <v>3.5</v>
      </c>
      <c r="O90" s="16">
        <v>2.5</v>
      </c>
      <c r="P90" s="16" t="s">
        <v>203</v>
      </c>
      <c r="Q90" s="16" t="s">
        <v>203</v>
      </c>
      <c r="R90" s="4">
        <v>0</v>
      </c>
      <c r="S90" s="6">
        <v>31.988048942426257</v>
      </c>
      <c r="T90" s="6">
        <v>37.214265389357863</v>
      </c>
      <c r="U90" s="6"/>
      <c r="V90" s="6">
        <v>53.93</v>
      </c>
      <c r="W90" s="6">
        <v>90.85</v>
      </c>
      <c r="X90" s="6">
        <v>100</v>
      </c>
      <c r="Y90" s="6">
        <v>100</v>
      </c>
    </row>
    <row r="91" spans="1:25" x14ac:dyDescent="0.25">
      <c r="A91" s="1" t="s">
        <v>16</v>
      </c>
      <c r="B91" s="3" t="s">
        <v>119</v>
      </c>
      <c r="C91" s="21">
        <v>3.3</v>
      </c>
      <c r="D91" s="10" t="s">
        <v>20</v>
      </c>
      <c r="E91" s="11" t="s">
        <v>17</v>
      </c>
      <c r="F91" s="11">
        <v>3.5</v>
      </c>
      <c r="G91" s="11" t="s">
        <v>17</v>
      </c>
      <c r="H91" s="11" t="s">
        <v>17</v>
      </c>
      <c r="I91" s="11" t="s">
        <v>17</v>
      </c>
      <c r="J91" s="11">
        <v>2.5</v>
      </c>
      <c r="K91" s="16">
        <v>4.5</v>
      </c>
      <c r="L91" s="16" t="s">
        <v>201</v>
      </c>
      <c r="M91" s="16" t="s">
        <v>201</v>
      </c>
      <c r="N91" s="16" t="s">
        <v>201</v>
      </c>
      <c r="O91" s="16" t="s">
        <v>201</v>
      </c>
      <c r="P91" s="16">
        <v>3.5</v>
      </c>
      <c r="Q91" s="16">
        <v>3.5</v>
      </c>
      <c r="R91" s="4">
        <v>0</v>
      </c>
      <c r="S91" s="6">
        <v>49.3626</v>
      </c>
      <c r="T91" s="6">
        <v>62.060099999999998</v>
      </c>
      <c r="U91" s="6"/>
      <c r="V91" s="6">
        <v>55.76</v>
      </c>
      <c r="W91" s="6">
        <v>88.94</v>
      </c>
      <c r="X91" s="6">
        <v>100</v>
      </c>
      <c r="Y91" s="6">
        <v>100</v>
      </c>
    </row>
    <row r="92" spans="1:25" x14ac:dyDescent="0.25">
      <c r="A92" s="1" t="s">
        <v>16</v>
      </c>
      <c r="B92" s="3" t="s">
        <v>120</v>
      </c>
      <c r="C92" s="21">
        <v>1.2</v>
      </c>
      <c r="D92" s="10">
        <v>4.5</v>
      </c>
      <c r="E92" s="11">
        <v>3.5</v>
      </c>
      <c r="F92" s="11">
        <v>3.5</v>
      </c>
      <c r="G92" s="11">
        <v>4.5</v>
      </c>
      <c r="H92" s="11">
        <v>4.5</v>
      </c>
      <c r="I92" s="11">
        <v>4.5</v>
      </c>
      <c r="J92" s="11">
        <v>2.5</v>
      </c>
      <c r="K92" s="16">
        <v>4.5</v>
      </c>
      <c r="L92" s="16">
        <v>4.5</v>
      </c>
      <c r="M92" s="16" t="s">
        <v>201</v>
      </c>
      <c r="N92" s="16" t="s">
        <v>201</v>
      </c>
      <c r="O92" s="16" t="s">
        <v>201</v>
      </c>
      <c r="P92" s="16">
        <v>3.5</v>
      </c>
      <c r="Q92" s="16" t="s">
        <v>202</v>
      </c>
      <c r="R92" s="4">
        <v>0</v>
      </c>
      <c r="S92" s="6">
        <v>25.522500000000001</v>
      </c>
      <c r="T92" s="6">
        <v>32.087699999999998</v>
      </c>
      <c r="U92" s="6"/>
      <c r="V92" s="6">
        <v>67.72</v>
      </c>
      <c r="W92" s="6">
        <v>91.93</v>
      </c>
      <c r="X92" s="6">
        <v>100</v>
      </c>
      <c r="Y92" s="6">
        <v>100</v>
      </c>
    </row>
    <row r="93" spans="1:25" x14ac:dyDescent="0.25">
      <c r="A93" s="1" t="s">
        <v>16</v>
      </c>
      <c r="B93" s="3" t="s">
        <v>121</v>
      </c>
      <c r="C93" s="26">
        <v>1.8</v>
      </c>
      <c r="D93" s="10" t="s">
        <v>17</v>
      </c>
      <c r="E93" s="11">
        <v>3.5</v>
      </c>
      <c r="F93" s="11" t="s">
        <v>18</v>
      </c>
      <c r="G93" s="11">
        <v>4.5</v>
      </c>
      <c r="H93" s="11">
        <v>4.5</v>
      </c>
      <c r="I93" s="11">
        <v>4.5</v>
      </c>
      <c r="J93" s="11">
        <v>4.5</v>
      </c>
      <c r="K93" s="16">
        <v>4.5</v>
      </c>
      <c r="L93" s="16">
        <v>4.5</v>
      </c>
      <c r="M93" s="16">
        <v>4.5</v>
      </c>
      <c r="N93" s="16">
        <v>4.5</v>
      </c>
      <c r="O93" s="16">
        <v>4.5</v>
      </c>
      <c r="P93" s="16">
        <v>4.5</v>
      </c>
      <c r="Q93" s="16">
        <v>4.5</v>
      </c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1" t="s">
        <v>16</v>
      </c>
      <c r="B94" s="3" t="s">
        <v>122</v>
      </c>
      <c r="C94" s="21">
        <v>1.1000000000000001</v>
      </c>
      <c r="D94" s="10">
        <v>4.5</v>
      </c>
      <c r="E94" s="11">
        <v>3.5</v>
      </c>
      <c r="F94" s="11" t="s">
        <v>18</v>
      </c>
      <c r="G94" s="11">
        <v>4.5</v>
      </c>
      <c r="H94" s="11">
        <v>4.5</v>
      </c>
      <c r="I94" s="11">
        <v>4.5</v>
      </c>
      <c r="J94" s="11" t="s">
        <v>17</v>
      </c>
      <c r="K94" s="16">
        <v>4.5</v>
      </c>
      <c r="L94" s="16">
        <v>4.5</v>
      </c>
      <c r="M94" s="16">
        <v>4.5</v>
      </c>
      <c r="N94" s="16">
        <v>4.5</v>
      </c>
      <c r="O94" s="16">
        <v>4.5</v>
      </c>
      <c r="P94" s="16" t="s">
        <v>201</v>
      </c>
      <c r="Q94" s="16" t="s">
        <v>201</v>
      </c>
      <c r="R94" s="4">
        <v>0</v>
      </c>
      <c r="S94" s="6">
        <v>48.580599999999997</v>
      </c>
      <c r="T94" s="6">
        <v>61.076900000000002</v>
      </c>
      <c r="U94" s="6"/>
      <c r="V94" s="6">
        <v>83.65</v>
      </c>
      <c r="W94" s="6">
        <v>95.912499999999994</v>
      </c>
      <c r="X94" s="6">
        <v>100</v>
      </c>
      <c r="Y94" s="6">
        <v>100</v>
      </c>
    </row>
    <row r="95" spans="1:25" x14ac:dyDescent="0.25">
      <c r="A95" s="1" t="s">
        <v>16</v>
      </c>
      <c r="B95" s="3" t="s">
        <v>123</v>
      </c>
      <c r="C95" s="21">
        <v>1.6</v>
      </c>
      <c r="D95" s="10" t="s">
        <v>20</v>
      </c>
      <c r="E95" s="11">
        <v>3.5</v>
      </c>
      <c r="F95" s="11" t="s">
        <v>18</v>
      </c>
      <c r="G95" s="11">
        <v>4.5</v>
      </c>
      <c r="H95" s="11">
        <v>4.5</v>
      </c>
      <c r="I95" s="11">
        <v>4.5</v>
      </c>
      <c r="J95" s="11">
        <v>1.5</v>
      </c>
      <c r="K95" s="16">
        <v>4.5</v>
      </c>
      <c r="L95" s="16" t="s">
        <v>201</v>
      </c>
      <c r="M95" s="16">
        <v>3.5</v>
      </c>
      <c r="N95" s="16">
        <v>3.5</v>
      </c>
      <c r="O95" s="16">
        <v>2.5</v>
      </c>
      <c r="P95" s="16" t="s">
        <v>203</v>
      </c>
      <c r="Q95" s="16" t="s">
        <v>203</v>
      </c>
      <c r="R95" s="4">
        <v>0</v>
      </c>
      <c r="S95" s="6">
        <v>32.134500000000003</v>
      </c>
      <c r="T95" s="6">
        <v>40.400399999999998</v>
      </c>
      <c r="U95" s="6"/>
      <c r="V95" s="6">
        <v>51.23</v>
      </c>
      <c r="W95" s="6">
        <v>87.807500000000005</v>
      </c>
      <c r="X95" s="6">
        <v>100</v>
      </c>
      <c r="Y95" s="6">
        <v>100</v>
      </c>
    </row>
    <row r="96" spans="1:25" x14ac:dyDescent="0.25">
      <c r="A96" s="1" t="s">
        <v>16</v>
      </c>
      <c r="B96" s="3" t="s">
        <v>124</v>
      </c>
      <c r="C96" s="21">
        <v>2.2999999999999998</v>
      </c>
      <c r="D96" s="10" t="s">
        <v>17</v>
      </c>
      <c r="E96" s="11">
        <v>3.5</v>
      </c>
      <c r="F96" s="11" t="s">
        <v>18</v>
      </c>
      <c r="G96" s="11">
        <v>4.5</v>
      </c>
      <c r="H96" s="11">
        <v>4.5</v>
      </c>
      <c r="I96" s="11">
        <v>4.5</v>
      </c>
      <c r="J96" s="11" t="s">
        <v>18</v>
      </c>
      <c r="K96" s="16">
        <v>4.5</v>
      </c>
      <c r="L96" s="16">
        <v>4.5</v>
      </c>
      <c r="M96" s="16">
        <v>4.5</v>
      </c>
      <c r="N96" s="16" t="s">
        <v>201</v>
      </c>
      <c r="O96" s="16" t="s">
        <v>201</v>
      </c>
      <c r="P96" s="16">
        <v>3.5</v>
      </c>
      <c r="Q96" s="16">
        <v>3.5</v>
      </c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1" t="s">
        <v>9</v>
      </c>
      <c r="B97" s="3" t="s">
        <v>125</v>
      </c>
      <c r="C97" s="21">
        <v>4</v>
      </c>
      <c r="D97" s="10" t="s">
        <v>20</v>
      </c>
      <c r="E97" s="11">
        <v>3.5</v>
      </c>
      <c r="F97" s="11" t="s">
        <v>18</v>
      </c>
      <c r="G97" s="11">
        <v>4.5</v>
      </c>
      <c r="H97" s="11">
        <v>4.5</v>
      </c>
      <c r="I97" s="11">
        <v>4.5</v>
      </c>
      <c r="J97" s="11" t="s">
        <v>17</v>
      </c>
      <c r="K97" s="16" t="s">
        <v>201</v>
      </c>
      <c r="L97" s="16">
        <v>3.5</v>
      </c>
      <c r="M97" s="16">
        <v>3.5</v>
      </c>
      <c r="N97" s="16">
        <v>3.5</v>
      </c>
      <c r="O97" s="16">
        <v>3.5</v>
      </c>
      <c r="P97" s="16">
        <v>3.5</v>
      </c>
      <c r="Q97" s="16">
        <v>3.5</v>
      </c>
      <c r="R97" s="4">
        <v>0</v>
      </c>
      <c r="S97" s="6">
        <v>16.5533</v>
      </c>
      <c r="T97" s="6">
        <v>20.811199999999999</v>
      </c>
      <c r="U97" s="6"/>
      <c r="V97" s="6">
        <v>40.44</v>
      </c>
      <c r="W97" s="6">
        <v>85.11</v>
      </c>
      <c r="X97" s="6">
        <v>100</v>
      </c>
      <c r="Y97" s="6">
        <v>100</v>
      </c>
    </row>
    <row r="98" spans="1:25" x14ac:dyDescent="0.25">
      <c r="A98" s="1" t="s">
        <v>9</v>
      </c>
      <c r="B98" s="3" t="s">
        <v>126</v>
      </c>
      <c r="C98" s="21">
        <v>2.7</v>
      </c>
      <c r="D98" s="10" t="s">
        <v>20</v>
      </c>
      <c r="E98" s="11">
        <v>3.5</v>
      </c>
      <c r="F98" s="11">
        <v>3.5</v>
      </c>
      <c r="G98" s="11">
        <v>4.5</v>
      </c>
      <c r="H98" s="11">
        <v>4.5</v>
      </c>
      <c r="I98" s="11">
        <v>4.5</v>
      </c>
      <c r="J98" s="11">
        <v>3.5</v>
      </c>
      <c r="K98" s="16">
        <v>4.5</v>
      </c>
      <c r="L98" s="16">
        <v>4.5</v>
      </c>
      <c r="M98" s="16">
        <v>4.5</v>
      </c>
      <c r="N98" s="16" t="s">
        <v>201</v>
      </c>
      <c r="O98" s="16">
        <v>3.5</v>
      </c>
      <c r="P98" s="16">
        <v>3.5</v>
      </c>
      <c r="Q98" s="16">
        <v>3.5</v>
      </c>
      <c r="R98" s="4">
        <v>0</v>
      </c>
      <c r="S98" s="6">
        <v>35.7303</v>
      </c>
      <c r="T98" s="6">
        <v>44.921100000000003</v>
      </c>
      <c r="U98" s="6"/>
      <c r="V98" s="6">
        <v>50.06</v>
      </c>
      <c r="W98" s="6">
        <v>87.515000000000001</v>
      </c>
      <c r="X98" s="6">
        <v>100</v>
      </c>
      <c r="Y98" s="6">
        <v>100</v>
      </c>
    </row>
    <row r="99" spans="1:25" x14ac:dyDescent="0.25">
      <c r="A99" s="1" t="s">
        <v>9</v>
      </c>
      <c r="B99" s="3" t="s">
        <v>127</v>
      </c>
      <c r="C99" s="21">
        <v>2.4</v>
      </c>
      <c r="D99" s="10">
        <v>6.5</v>
      </c>
      <c r="E99" s="11" t="s">
        <v>17</v>
      </c>
      <c r="F99" s="11" t="s">
        <v>17</v>
      </c>
      <c r="G99" s="11">
        <v>4.5</v>
      </c>
      <c r="H99" s="11">
        <v>4.5</v>
      </c>
      <c r="I99" s="11" t="s">
        <v>17</v>
      </c>
      <c r="J99" s="11">
        <v>4.5</v>
      </c>
      <c r="K99" s="16">
        <v>4.5</v>
      </c>
      <c r="L99" s="16">
        <v>4.5</v>
      </c>
      <c r="M99" s="16">
        <v>4.5</v>
      </c>
      <c r="N99" s="16">
        <v>4.5</v>
      </c>
      <c r="O99" s="16" t="s">
        <v>201</v>
      </c>
      <c r="P99" s="16" t="s">
        <v>201</v>
      </c>
      <c r="Q99" s="16" t="s">
        <v>201</v>
      </c>
      <c r="R99" s="4">
        <v>0</v>
      </c>
      <c r="S99" s="6">
        <v>64</v>
      </c>
      <c r="T99" s="6">
        <v>78</v>
      </c>
      <c r="U99" s="6"/>
      <c r="V99" s="6">
        <v>77</v>
      </c>
      <c r="W99" s="6">
        <v>96</v>
      </c>
      <c r="X99" s="6">
        <v>100</v>
      </c>
      <c r="Y99" s="6">
        <v>100</v>
      </c>
    </row>
    <row r="100" spans="1:25" x14ac:dyDescent="0.25">
      <c r="A100" s="1" t="s">
        <v>9</v>
      </c>
      <c r="B100" s="3" t="s">
        <v>128</v>
      </c>
      <c r="C100" s="26">
        <v>1.8</v>
      </c>
      <c r="D100" s="10" t="s">
        <v>17</v>
      </c>
      <c r="E100" s="11">
        <v>3.5</v>
      </c>
      <c r="F100" s="11">
        <v>3.5</v>
      </c>
      <c r="G100" s="11">
        <v>4.5</v>
      </c>
      <c r="H100" s="11">
        <v>4.5</v>
      </c>
      <c r="I100" s="11">
        <v>4.5</v>
      </c>
      <c r="J100" s="11">
        <v>3.5</v>
      </c>
      <c r="K100" s="16">
        <v>4.5</v>
      </c>
      <c r="L100" s="16">
        <v>4.5</v>
      </c>
      <c r="M100" s="16">
        <v>4.5</v>
      </c>
      <c r="N100" s="16" t="s">
        <v>201</v>
      </c>
      <c r="O100" s="16" t="s">
        <v>201</v>
      </c>
      <c r="P100" s="16">
        <v>3.5</v>
      </c>
      <c r="Q100" s="16">
        <v>3.5</v>
      </c>
      <c r="R100" s="4">
        <v>0</v>
      </c>
      <c r="S100" s="6">
        <v>25.299299999999999</v>
      </c>
      <c r="T100" s="6">
        <v>31.806999999999999</v>
      </c>
      <c r="U100" s="6"/>
      <c r="V100" s="6">
        <v>52.43</v>
      </c>
      <c r="W100" s="6">
        <v>88.107500000000002</v>
      </c>
      <c r="X100" s="6">
        <v>100</v>
      </c>
      <c r="Y100" s="6">
        <v>100</v>
      </c>
    </row>
    <row r="101" spans="1:25" x14ac:dyDescent="0.25">
      <c r="A101" s="1" t="s">
        <v>9</v>
      </c>
      <c r="B101" s="3" t="s">
        <v>129</v>
      </c>
      <c r="C101" s="21">
        <v>1.7</v>
      </c>
      <c r="D101" s="10">
        <v>4.5</v>
      </c>
      <c r="E101" s="11">
        <v>3.5</v>
      </c>
      <c r="F101" s="11" t="s">
        <v>18</v>
      </c>
      <c r="G101" s="11">
        <v>4.5</v>
      </c>
      <c r="H101" s="11">
        <v>4.5</v>
      </c>
      <c r="I101" s="11">
        <v>4.5</v>
      </c>
      <c r="J101" s="11" t="s">
        <v>19</v>
      </c>
      <c r="K101" s="16">
        <v>4.5</v>
      </c>
      <c r="L101" s="16" t="s">
        <v>201</v>
      </c>
      <c r="M101" s="16" t="s">
        <v>201</v>
      </c>
      <c r="N101" s="16" t="s">
        <v>201</v>
      </c>
      <c r="O101" s="16" t="s">
        <v>202</v>
      </c>
      <c r="P101" s="16">
        <v>2.5</v>
      </c>
      <c r="Q101" s="16" t="s">
        <v>203</v>
      </c>
      <c r="R101" s="4">
        <v>0</v>
      </c>
      <c r="S101" s="6">
        <v>28.882400000000001</v>
      </c>
      <c r="T101" s="6">
        <v>36.311799999999998</v>
      </c>
      <c r="U101" s="6"/>
      <c r="V101" s="6">
        <v>41.77</v>
      </c>
      <c r="W101" s="6">
        <v>85.442499999999995</v>
      </c>
      <c r="X101" s="6">
        <v>100</v>
      </c>
      <c r="Y101" s="6">
        <v>100</v>
      </c>
    </row>
    <row r="102" spans="1:25" x14ac:dyDescent="0.25">
      <c r="A102" s="1" t="s">
        <v>9</v>
      </c>
      <c r="B102" s="3" t="s">
        <v>130</v>
      </c>
      <c r="C102" s="21">
        <v>4.5999999999999996</v>
      </c>
      <c r="D102" s="10">
        <v>5.5</v>
      </c>
      <c r="E102" s="11">
        <v>4.5</v>
      </c>
      <c r="F102" s="11" t="s">
        <v>17</v>
      </c>
      <c r="G102" s="11">
        <v>4.5</v>
      </c>
      <c r="H102" s="11">
        <v>4.5</v>
      </c>
      <c r="I102" s="11">
        <v>4.5</v>
      </c>
      <c r="J102" s="11" t="s">
        <v>19</v>
      </c>
      <c r="K102" s="16">
        <v>4.5</v>
      </c>
      <c r="L102" s="16" t="s">
        <v>201</v>
      </c>
      <c r="M102" s="16">
        <v>3.5</v>
      </c>
      <c r="N102" s="16" t="s">
        <v>202</v>
      </c>
      <c r="O102" s="16" t="s">
        <v>202</v>
      </c>
      <c r="P102" s="16">
        <v>2.5</v>
      </c>
      <c r="Q102" s="16" t="s">
        <v>203</v>
      </c>
      <c r="R102" s="4">
        <v>0</v>
      </c>
      <c r="S102" s="6">
        <v>41</v>
      </c>
      <c r="T102" s="6">
        <v>42</v>
      </c>
      <c r="U102" s="6"/>
      <c r="V102" s="6">
        <v>52</v>
      </c>
      <c r="W102" s="6">
        <v>87</v>
      </c>
      <c r="X102" s="6">
        <v>100</v>
      </c>
      <c r="Y102" s="6">
        <v>100</v>
      </c>
    </row>
    <row r="103" spans="1:25" x14ac:dyDescent="0.25">
      <c r="A103" s="1" t="s">
        <v>9</v>
      </c>
      <c r="B103" s="3" t="s">
        <v>131</v>
      </c>
      <c r="C103" s="21">
        <v>2.6</v>
      </c>
      <c r="D103" s="10" t="s">
        <v>22</v>
      </c>
      <c r="E103" s="11">
        <v>4.5</v>
      </c>
      <c r="F103" s="11" t="s">
        <v>17</v>
      </c>
      <c r="G103" s="11">
        <v>4.5</v>
      </c>
      <c r="H103" s="11" t="s">
        <v>17</v>
      </c>
      <c r="I103" s="11" t="s">
        <v>17</v>
      </c>
      <c r="J103" s="11" t="s">
        <v>19</v>
      </c>
      <c r="K103" s="16">
        <v>4.5</v>
      </c>
      <c r="L103" s="16" t="s">
        <v>201</v>
      </c>
      <c r="M103" s="16">
        <v>3.5</v>
      </c>
      <c r="N103" s="16">
        <v>3.5</v>
      </c>
      <c r="O103" s="16" t="s">
        <v>202</v>
      </c>
      <c r="P103" s="16" t="s">
        <v>203</v>
      </c>
      <c r="Q103" s="16" t="s">
        <v>203</v>
      </c>
      <c r="R103" s="4">
        <v>0</v>
      </c>
      <c r="S103" s="6">
        <v>51.510399999999997</v>
      </c>
      <c r="T103" s="6">
        <v>64.760300000000001</v>
      </c>
      <c r="U103" s="6"/>
      <c r="V103" s="6">
        <v>55.77</v>
      </c>
      <c r="W103" s="6">
        <v>88.942499999999995</v>
      </c>
      <c r="X103" s="6">
        <v>100</v>
      </c>
      <c r="Y103" s="6">
        <v>100</v>
      </c>
    </row>
    <row r="104" spans="1:25" x14ac:dyDescent="0.25">
      <c r="A104" s="1" t="s">
        <v>9</v>
      </c>
      <c r="B104" s="3" t="s">
        <v>132</v>
      </c>
      <c r="C104" s="26">
        <v>2.5</v>
      </c>
      <c r="D104" s="10">
        <v>4.5</v>
      </c>
      <c r="E104" s="11" t="s">
        <v>17</v>
      </c>
      <c r="F104" s="11">
        <v>3.5</v>
      </c>
      <c r="G104" s="11">
        <v>4.5</v>
      </c>
      <c r="H104" s="11">
        <v>4.5</v>
      </c>
      <c r="I104" s="11">
        <v>4.5</v>
      </c>
      <c r="J104" s="11">
        <v>1.5</v>
      </c>
      <c r="K104" s="16">
        <v>4.5</v>
      </c>
      <c r="L104" s="16">
        <v>4.5</v>
      </c>
      <c r="M104" s="16" t="s">
        <v>201</v>
      </c>
      <c r="N104" s="16">
        <v>3.5</v>
      </c>
      <c r="O104" s="16">
        <v>2.5</v>
      </c>
      <c r="P104" s="16" t="s">
        <v>203</v>
      </c>
      <c r="Q104" s="16" t="s">
        <v>203</v>
      </c>
      <c r="R104" s="4">
        <v>0</v>
      </c>
      <c r="S104" s="6">
        <v>30.539000000000001</v>
      </c>
      <c r="T104" s="6">
        <v>38.394500000000001</v>
      </c>
      <c r="U104" s="6"/>
      <c r="V104" s="6">
        <v>65.2</v>
      </c>
      <c r="W104" s="6">
        <v>91.3</v>
      </c>
      <c r="X104" s="6">
        <v>100</v>
      </c>
      <c r="Y104" s="6">
        <v>100</v>
      </c>
    </row>
    <row r="105" spans="1:25" x14ac:dyDescent="0.25">
      <c r="A105" s="1" t="s">
        <v>10</v>
      </c>
      <c r="B105" s="3" t="s">
        <v>133</v>
      </c>
      <c r="C105" s="26">
        <v>2.2000000000000002</v>
      </c>
      <c r="D105" s="10">
        <v>6.5</v>
      </c>
      <c r="E105" s="11">
        <v>4.5</v>
      </c>
      <c r="F105" s="11">
        <v>4.5</v>
      </c>
      <c r="G105" s="11">
        <v>4.5</v>
      </c>
      <c r="H105" s="11">
        <v>4.5</v>
      </c>
      <c r="I105" s="11">
        <v>3.5</v>
      </c>
      <c r="J105" s="11">
        <v>4.5</v>
      </c>
      <c r="K105" s="16">
        <v>4.5</v>
      </c>
      <c r="L105" s="16">
        <v>4.5</v>
      </c>
      <c r="M105" s="16">
        <v>4.5</v>
      </c>
      <c r="N105" s="16">
        <v>4.5</v>
      </c>
      <c r="O105" s="16">
        <v>4.5</v>
      </c>
      <c r="P105" s="16">
        <v>4.5</v>
      </c>
      <c r="Q105" s="16">
        <v>4.5</v>
      </c>
      <c r="R105" s="4">
        <v>0</v>
      </c>
      <c r="S105" s="6">
        <v>63.9358</v>
      </c>
      <c r="T105" s="6">
        <v>80.382000000000005</v>
      </c>
      <c r="U105" s="6"/>
      <c r="V105" s="6">
        <v>57.77</v>
      </c>
      <c r="W105" s="6">
        <v>89.442499999999995</v>
      </c>
      <c r="X105" s="6">
        <v>100</v>
      </c>
      <c r="Y105" s="6">
        <v>100</v>
      </c>
    </row>
    <row r="106" spans="1:25" x14ac:dyDescent="0.25">
      <c r="A106" s="1" t="s">
        <v>10</v>
      </c>
      <c r="B106" s="3" t="s">
        <v>134</v>
      </c>
      <c r="C106" s="26">
        <v>3</v>
      </c>
      <c r="D106" s="10" t="s">
        <v>22</v>
      </c>
      <c r="E106" s="11" t="s">
        <v>17</v>
      </c>
      <c r="F106" s="11" t="s">
        <v>17</v>
      </c>
      <c r="G106" s="11">
        <v>4.5</v>
      </c>
      <c r="H106" s="11">
        <v>4.5</v>
      </c>
      <c r="I106" s="11" t="s">
        <v>17</v>
      </c>
      <c r="J106" s="11" t="s">
        <v>17</v>
      </c>
      <c r="K106" s="16">
        <v>4.5</v>
      </c>
      <c r="L106" s="16">
        <v>4.5</v>
      </c>
      <c r="M106" s="16">
        <v>4.5</v>
      </c>
      <c r="N106" s="16" t="s">
        <v>201</v>
      </c>
      <c r="O106" s="16" t="s">
        <v>201</v>
      </c>
      <c r="P106" s="16">
        <v>3.5</v>
      </c>
      <c r="Q106" s="16">
        <v>3.5</v>
      </c>
      <c r="R106" s="4">
        <v>0</v>
      </c>
      <c r="S106" s="6">
        <v>49.606299999999997</v>
      </c>
      <c r="T106" s="6">
        <v>62.366500000000002</v>
      </c>
      <c r="U106" s="6"/>
      <c r="V106" s="6">
        <v>58.47</v>
      </c>
      <c r="W106" s="6">
        <v>89.617500000000007</v>
      </c>
      <c r="X106" s="6">
        <v>100</v>
      </c>
      <c r="Y106" s="6">
        <v>100</v>
      </c>
    </row>
    <row r="107" spans="1:25" x14ac:dyDescent="0.25">
      <c r="A107" s="1" t="s">
        <v>10</v>
      </c>
      <c r="B107" s="3" t="s">
        <v>135</v>
      </c>
      <c r="C107" s="26">
        <v>1.9</v>
      </c>
      <c r="D107" s="10">
        <v>4.5</v>
      </c>
      <c r="E107" s="11" t="s">
        <v>17</v>
      </c>
      <c r="F107" s="11">
        <v>3.5</v>
      </c>
      <c r="G107" s="11">
        <v>4.5</v>
      </c>
      <c r="H107" s="11">
        <v>4.5</v>
      </c>
      <c r="I107" s="11">
        <v>4.5</v>
      </c>
      <c r="J107" s="11" t="s">
        <v>17</v>
      </c>
      <c r="K107" s="16">
        <v>4.5</v>
      </c>
      <c r="L107" s="16">
        <v>4.5</v>
      </c>
      <c r="M107" s="16">
        <v>4.5</v>
      </c>
      <c r="N107" s="16" t="s">
        <v>201</v>
      </c>
      <c r="O107" s="16" t="s">
        <v>201</v>
      </c>
      <c r="P107" s="16" t="s">
        <v>201</v>
      </c>
      <c r="Q107" s="16">
        <v>3.5</v>
      </c>
      <c r="R107" s="4">
        <v>0</v>
      </c>
      <c r="S107" s="6">
        <v>25.299299999999999</v>
      </c>
      <c r="T107" s="6">
        <v>31.806999999999999</v>
      </c>
      <c r="U107" s="6"/>
      <c r="V107" s="6">
        <v>52.43</v>
      </c>
      <c r="W107" s="6">
        <v>88.107500000000002</v>
      </c>
      <c r="X107" s="6">
        <v>100</v>
      </c>
      <c r="Y107" s="6">
        <v>100</v>
      </c>
    </row>
    <row r="108" spans="1:25" x14ac:dyDescent="0.25">
      <c r="A108" s="1" t="s">
        <v>10</v>
      </c>
      <c r="B108" s="3" t="s">
        <v>136</v>
      </c>
      <c r="C108" s="26">
        <v>2.2000000000000002</v>
      </c>
      <c r="D108" s="10">
        <v>4.5</v>
      </c>
      <c r="E108" s="11">
        <v>3.5</v>
      </c>
      <c r="F108" s="11">
        <v>2.5</v>
      </c>
      <c r="G108" s="11">
        <v>4.5</v>
      </c>
      <c r="H108" s="11">
        <v>4.5</v>
      </c>
      <c r="I108" s="11" t="s">
        <v>17</v>
      </c>
      <c r="J108" s="11">
        <v>4.5</v>
      </c>
      <c r="K108" s="16">
        <v>4.5</v>
      </c>
      <c r="L108" s="16">
        <v>4.5</v>
      </c>
      <c r="M108" s="16">
        <v>4.5</v>
      </c>
      <c r="N108" s="16">
        <v>4.5</v>
      </c>
      <c r="O108" s="16">
        <v>4.5</v>
      </c>
      <c r="P108" s="16">
        <v>4.5</v>
      </c>
      <c r="Q108" s="16">
        <v>4.5</v>
      </c>
      <c r="R108" s="14">
        <v>0</v>
      </c>
      <c r="S108" s="15">
        <v>36.441800000000001</v>
      </c>
      <c r="T108" s="15">
        <v>45.8157</v>
      </c>
      <c r="U108" s="15"/>
      <c r="V108" s="15">
        <v>53.81</v>
      </c>
      <c r="W108" s="15">
        <v>88.452500000000001</v>
      </c>
      <c r="X108" s="15">
        <v>100</v>
      </c>
      <c r="Y108" s="15">
        <v>100</v>
      </c>
    </row>
    <row r="109" spans="1:25" x14ac:dyDescent="0.25">
      <c r="A109" s="1" t="s">
        <v>10</v>
      </c>
      <c r="B109" s="3" t="s">
        <v>137</v>
      </c>
      <c r="C109" s="26">
        <v>4.4000000000000004</v>
      </c>
      <c r="D109" s="10">
        <v>5.5</v>
      </c>
      <c r="E109" s="11">
        <v>4.5</v>
      </c>
      <c r="F109" s="11" t="s">
        <v>17</v>
      </c>
      <c r="G109" s="11">
        <v>4.5</v>
      </c>
      <c r="H109" s="11">
        <v>4.5</v>
      </c>
      <c r="I109" s="11" t="s">
        <v>17</v>
      </c>
      <c r="J109" s="11">
        <v>2.5</v>
      </c>
      <c r="K109" s="16">
        <v>4.5</v>
      </c>
      <c r="L109" s="16" t="s">
        <v>201</v>
      </c>
      <c r="M109" s="16">
        <v>3.5</v>
      </c>
      <c r="N109" s="16" t="s">
        <v>202</v>
      </c>
      <c r="O109" s="16" t="s">
        <v>202</v>
      </c>
      <c r="P109" s="16">
        <v>2.5</v>
      </c>
      <c r="Q109" s="16" t="s">
        <v>203</v>
      </c>
      <c r="R109" s="4">
        <v>0</v>
      </c>
      <c r="S109" s="6">
        <v>41</v>
      </c>
      <c r="T109" s="6">
        <v>42</v>
      </c>
      <c r="U109" s="6"/>
      <c r="V109" s="6">
        <v>52</v>
      </c>
      <c r="W109" s="6">
        <v>87</v>
      </c>
      <c r="X109" s="6">
        <v>100</v>
      </c>
      <c r="Y109" s="6">
        <v>100</v>
      </c>
    </row>
    <row r="110" spans="1:25" x14ac:dyDescent="0.25">
      <c r="A110" s="1" t="s">
        <v>10</v>
      </c>
      <c r="B110" s="3" t="s">
        <v>138</v>
      </c>
      <c r="C110" s="26">
        <v>4.4000000000000004</v>
      </c>
      <c r="D110" s="10">
        <v>5.5</v>
      </c>
      <c r="E110" s="11">
        <v>4.5</v>
      </c>
      <c r="F110" s="11" t="s">
        <v>17</v>
      </c>
      <c r="G110" s="11">
        <v>4.5</v>
      </c>
      <c r="H110" s="11">
        <v>4.5</v>
      </c>
      <c r="I110" s="11" t="s">
        <v>17</v>
      </c>
      <c r="J110" s="11">
        <v>2.5</v>
      </c>
      <c r="K110" s="16">
        <v>4.5</v>
      </c>
      <c r="L110" s="16" t="s">
        <v>201</v>
      </c>
      <c r="M110" s="16">
        <v>3.5</v>
      </c>
      <c r="N110" s="16" t="s">
        <v>202</v>
      </c>
      <c r="O110" s="16" t="s">
        <v>202</v>
      </c>
      <c r="P110" s="16">
        <v>2.5</v>
      </c>
      <c r="Q110" s="16" t="s">
        <v>203</v>
      </c>
      <c r="R110" s="4">
        <v>0</v>
      </c>
      <c r="S110" s="9">
        <v>54.9</v>
      </c>
      <c r="T110" s="9">
        <v>67.2</v>
      </c>
      <c r="U110" s="9"/>
      <c r="V110" s="9">
        <v>71</v>
      </c>
      <c r="W110" s="9">
        <v>95.1</v>
      </c>
      <c r="X110" s="9">
        <v>100</v>
      </c>
      <c r="Y110" s="6">
        <v>100</v>
      </c>
    </row>
    <row r="111" spans="1:25" x14ac:dyDescent="0.25">
      <c r="A111" s="1" t="s">
        <v>10</v>
      </c>
      <c r="B111" s="3" t="s">
        <v>139</v>
      </c>
      <c r="C111" s="26">
        <v>2</v>
      </c>
      <c r="D111" s="10">
        <v>6.5</v>
      </c>
      <c r="E111" s="11">
        <v>4.5</v>
      </c>
      <c r="F111" s="11" t="s">
        <v>17</v>
      </c>
      <c r="G111" s="11">
        <v>4.5</v>
      </c>
      <c r="H111" s="11" t="s">
        <v>17</v>
      </c>
      <c r="I111" s="11" t="s">
        <v>18</v>
      </c>
      <c r="J111" s="11" t="s">
        <v>19</v>
      </c>
      <c r="K111" s="16">
        <v>4.5</v>
      </c>
      <c r="L111" s="16" t="s">
        <v>201</v>
      </c>
      <c r="M111" s="16" t="s">
        <v>201</v>
      </c>
      <c r="N111" s="16">
        <v>3.5</v>
      </c>
      <c r="O111" s="16" t="s">
        <v>202</v>
      </c>
      <c r="P111" s="16" t="s">
        <v>203</v>
      </c>
      <c r="Q111" s="16" t="s">
        <v>203</v>
      </c>
      <c r="R111" s="4">
        <v>0</v>
      </c>
      <c r="S111" s="6">
        <v>51.510399999999997</v>
      </c>
      <c r="T111" s="6">
        <v>64.760300000000001</v>
      </c>
      <c r="U111" s="6"/>
      <c r="V111" s="6">
        <v>55.77</v>
      </c>
      <c r="W111" s="6">
        <v>88.942499999999995</v>
      </c>
      <c r="X111" s="6">
        <v>100</v>
      </c>
      <c r="Y111" s="6">
        <v>100</v>
      </c>
    </row>
    <row r="112" spans="1:25" x14ac:dyDescent="0.25">
      <c r="A112" s="1" t="s">
        <v>10</v>
      </c>
      <c r="B112" s="3" t="s">
        <v>140</v>
      </c>
      <c r="C112" s="26">
        <v>1.7</v>
      </c>
      <c r="D112" s="10">
        <v>5.5</v>
      </c>
      <c r="E112" s="11">
        <v>4.5</v>
      </c>
      <c r="F112" s="11" t="s">
        <v>18</v>
      </c>
      <c r="G112" s="11">
        <v>4.5</v>
      </c>
      <c r="H112" s="11">
        <v>4.5</v>
      </c>
      <c r="I112" s="11" t="s">
        <v>17</v>
      </c>
      <c r="J112" s="11" t="s">
        <v>18</v>
      </c>
      <c r="K112" s="16">
        <v>4.5</v>
      </c>
      <c r="L112" s="16">
        <v>4.5</v>
      </c>
      <c r="M112" s="16" t="s">
        <v>201</v>
      </c>
      <c r="N112" s="16">
        <v>3.5</v>
      </c>
      <c r="O112" s="16" t="s">
        <v>202</v>
      </c>
      <c r="P112" s="16">
        <v>2.5</v>
      </c>
      <c r="Q112" s="16" t="s">
        <v>203</v>
      </c>
      <c r="R112" s="4">
        <v>0</v>
      </c>
      <c r="S112" s="6">
        <v>44.709000000000003</v>
      </c>
      <c r="T112" s="6">
        <v>50.756999999999998</v>
      </c>
      <c r="U112" s="6"/>
      <c r="V112" s="6">
        <v>49.16</v>
      </c>
      <c r="W112" s="6">
        <v>87.55</v>
      </c>
      <c r="X112" s="6">
        <v>100</v>
      </c>
      <c r="Y112" s="6">
        <v>100</v>
      </c>
    </row>
    <row r="113" spans="1:25" x14ac:dyDescent="0.25">
      <c r="A113" s="1" t="s">
        <v>10</v>
      </c>
      <c r="B113" s="3" t="s">
        <v>141</v>
      </c>
      <c r="C113" s="26">
        <v>2</v>
      </c>
      <c r="D113" s="10" t="s">
        <v>17</v>
      </c>
      <c r="E113" s="11">
        <v>3.5</v>
      </c>
      <c r="F113" s="11" t="s">
        <v>18</v>
      </c>
      <c r="G113" s="11">
        <v>4.5</v>
      </c>
      <c r="H113" s="11" t="s">
        <v>17</v>
      </c>
      <c r="I113" s="11">
        <v>3.5</v>
      </c>
      <c r="J113" s="11">
        <v>3.5</v>
      </c>
      <c r="K113" s="16">
        <v>4.5</v>
      </c>
      <c r="L113" s="16">
        <v>4.5</v>
      </c>
      <c r="M113" s="16">
        <v>4.5</v>
      </c>
      <c r="N113" s="16">
        <v>4.5</v>
      </c>
      <c r="O113" s="16">
        <v>4.5</v>
      </c>
      <c r="P113" s="16" t="s">
        <v>201</v>
      </c>
      <c r="Q113" s="16" t="s">
        <v>201</v>
      </c>
      <c r="R113" s="4">
        <v>0</v>
      </c>
      <c r="S113" s="6">
        <v>40.459299999999999</v>
      </c>
      <c r="T113" s="6">
        <v>50.866599999999998</v>
      </c>
      <c r="U113" s="6"/>
      <c r="V113" s="6">
        <v>63.44</v>
      </c>
      <c r="W113" s="6">
        <v>90.86</v>
      </c>
      <c r="X113" s="6">
        <v>100</v>
      </c>
      <c r="Y113" s="6">
        <v>100</v>
      </c>
    </row>
    <row r="114" spans="1:25" x14ac:dyDescent="0.25">
      <c r="A114" s="1" t="s">
        <v>11</v>
      </c>
      <c r="B114" s="3" t="s">
        <v>142</v>
      </c>
      <c r="C114" s="21">
        <v>3.7</v>
      </c>
      <c r="D114" s="10">
        <v>5.5</v>
      </c>
      <c r="E114" s="11" t="s">
        <v>17</v>
      </c>
      <c r="F114" s="11" t="s">
        <v>17</v>
      </c>
      <c r="G114" s="11">
        <v>4.5</v>
      </c>
      <c r="H114" s="11">
        <v>4.5</v>
      </c>
      <c r="I114" s="11">
        <v>4.5</v>
      </c>
      <c r="J114" s="11" t="s">
        <v>18</v>
      </c>
      <c r="K114" s="16">
        <v>4.5</v>
      </c>
      <c r="L114" s="16">
        <v>4.5</v>
      </c>
      <c r="M114" s="16" t="s">
        <v>201</v>
      </c>
      <c r="N114" s="16" t="s">
        <v>201</v>
      </c>
      <c r="O114" s="16">
        <v>3.5</v>
      </c>
      <c r="P114" s="16">
        <v>3.5</v>
      </c>
      <c r="Q114" s="16">
        <v>3.5</v>
      </c>
      <c r="R114" s="4">
        <v>0</v>
      </c>
      <c r="S114" s="6">
        <v>23.502400000000002</v>
      </c>
      <c r="T114" s="6">
        <v>29.547899999999998</v>
      </c>
      <c r="U114" s="6"/>
      <c r="V114" s="6">
        <v>43.37</v>
      </c>
      <c r="W114" s="6">
        <v>85.842500000000001</v>
      </c>
      <c r="X114" s="6">
        <v>100</v>
      </c>
      <c r="Y114" s="6">
        <v>100</v>
      </c>
    </row>
    <row r="115" spans="1:25" x14ac:dyDescent="0.25">
      <c r="A115" s="1" t="s">
        <v>11</v>
      </c>
      <c r="B115" s="3" t="s">
        <v>143</v>
      </c>
      <c r="C115" s="23">
        <v>2.6</v>
      </c>
      <c r="D115" s="10">
        <v>5.5</v>
      </c>
      <c r="E115" s="11">
        <v>4.5</v>
      </c>
      <c r="F115" s="11">
        <v>4.5</v>
      </c>
      <c r="G115" s="11">
        <v>4.5</v>
      </c>
      <c r="H115" s="11" t="s">
        <v>17</v>
      </c>
      <c r="I115" s="11">
        <v>4.5</v>
      </c>
      <c r="J115" s="11">
        <v>3.5</v>
      </c>
      <c r="K115" s="16">
        <v>4.5</v>
      </c>
      <c r="L115" s="16" t="s">
        <v>201</v>
      </c>
      <c r="M115" s="16" t="s">
        <v>201</v>
      </c>
      <c r="N115" s="16" t="s">
        <v>201</v>
      </c>
      <c r="O115" s="16" t="s">
        <v>201</v>
      </c>
      <c r="P115" s="16" t="s">
        <v>201</v>
      </c>
      <c r="Q115" s="16">
        <v>3.5</v>
      </c>
      <c r="R115" s="4">
        <v>0</v>
      </c>
      <c r="S115" s="6">
        <v>40.897100000000002</v>
      </c>
      <c r="T115" s="6">
        <v>51.417099999999998</v>
      </c>
      <c r="U115" s="6"/>
      <c r="V115" s="6">
        <v>39.1</v>
      </c>
      <c r="W115" s="6">
        <v>84.775000000000006</v>
      </c>
      <c r="X115" s="6">
        <v>100</v>
      </c>
      <c r="Y115" s="6">
        <v>100</v>
      </c>
    </row>
    <row r="116" spans="1:25" x14ac:dyDescent="0.25">
      <c r="A116" s="1" t="s">
        <v>11</v>
      </c>
      <c r="B116" s="3" t="s">
        <v>144</v>
      </c>
      <c r="C116" s="23">
        <v>2.8</v>
      </c>
      <c r="D116" s="10">
        <v>4.5</v>
      </c>
      <c r="E116" s="11">
        <v>3.5</v>
      </c>
      <c r="F116" s="11">
        <v>2.5</v>
      </c>
      <c r="G116" s="11">
        <v>4.5</v>
      </c>
      <c r="H116" s="11" t="s">
        <v>17</v>
      </c>
      <c r="I116" s="11">
        <v>4.5</v>
      </c>
      <c r="J116" s="11">
        <v>3.5</v>
      </c>
      <c r="K116" s="16">
        <v>4.5</v>
      </c>
      <c r="L116" s="16">
        <v>4.5</v>
      </c>
      <c r="M116" s="16">
        <v>4.5</v>
      </c>
      <c r="N116" s="16">
        <v>4.5</v>
      </c>
      <c r="O116" s="16">
        <v>4.5</v>
      </c>
      <c r="P116" s="16">
        <v>4.5</v>
      </c>
      <c r="Q116" s="16">
        <v>4.5</v>
      </c>
      <c r="R116" s="4">
        <v>0</v>
      </c>
      <c r="S116" s="6">
        <v>35.834800000000001</v>
      </c>
      <c r="T116" s="6">
        <v>45.052500000000002</v>
      </c>
      <c r="U116" s="6"/>
      <c r="V116" s="6">
        <v>51.65</v>
      </c>
      <c r="W116" s="6">
        <v>87.912499999999994</v>
      </c>
      <c r="X116" s="6">
        <v>100</v>
      </c>
      <c r="Y116" s="6">
        <v>100</v>
      </c>
    </row>
    <row r="117" spans="1:25" x14ac:dyDescent="0.25">
      <c r="A117" s="1" t="s">
        <v>11</v>
      </c>
      <c r="B117" s="3" t="s">
        <v>145</v>
      </c>
      <c r="C117" s="23">
        <v>1.6</v>
      </c>
      <c r="D117" s="10">
        <v>4.5</v>
      </c>
      <c r="E117" s="11" t="s">
        <v>17</v>
      </c>
      <c r="F117" s="11" t="s">
        <v>18</v>
      </c>
      <c r="G117" s="11">
        <v>4.5</v>
      </c>
      <c r="H117" s="11" t="s">
        <v>17</v>
      </c>
      <c r="I117" s="11">
        <v>4.5</v>
      </c>
      <c r="J117" s="11">
        <v>4.5</v>
      </c>
      <c r="K117" s="16">
        <v>4.5</v>
      </c>
      <c r="L117" s="16">
        <v>4.5</v>
      </c>
      <c r="M117" s="16">
        <v>4.5</v>
      </c>
      <c r="N117" s="16">
        <v>4.5</v>
      </c>
      <c r="O117" s="16" t="s">
        <v>201</v>
      </c>
      <c r="P117" s="16" t="s">
        <v>201</v>
      </c>
      <c r="Q117" s="16" t="s">
        <v>201</v>
      </c>
      <c r="R117" s="4">
        <v>0</v>
      </c>
      <c r="S117" s="6">
        <v>33.547600000000003</v>
      </c>
      <c r="T117" s="6">
        <v>42.177</v>
      </c>
      <c r="U117" s="6"/>
      <c r="V117" s="6">
        <v>51.67</v>
      </c>
      <c r="W117" s="6">
        <v>87.917500000000004</v>
      </c>
      <c r="X117" s="6">
        <v>100</v>
      </c>
      <c r="Y117" s="6">
        <v>100</v>
      </c>
    </row>
    <row r="118" spans="1:25" x14ac:dyDescent="0.25">
      <c r="A118" s="1" t="s">
        <v>11</v>
      </c>
      <c r="B118" s="3" t="s">
        <v>146</v>
      </c>
      <c r="C118" s="21">
        <v>1.8</v>
      </c>
      <c r="D118" s="10">
        <v>4.5</v>
      </c>
      <c r="E118" s="11">
        <v>3.5</v>
      </c>
      <c r="F118" s="11">
        <v>2.5</v>
      </c>
      <c r="G118" s="11">
        <v>4.5</v>
      </c>
      <c r="H118" s="11">
        <v>4.5</v>
      </c>
      <c r="I118" s="11">
        <v>4.5</v>
      </c>
      <c r="J118" s="11" t="s">
        <v>19</v>
      </c>
      <c r="K118" s="16">
        <v>4.5</v>
      </c>
      <c r="L118" s="16" t="s">
        <v>201</v>
      </c>
      <c r="M118" s="16">
        <v>3.5</v>
      </c>
      <c r="N118" s="16">
        <v>3.5</v>
      </c>
      <c r="O118" s="16">
        <v>2.5</v>
      </c>
      <c r="P118" s="16" t="s">
        <v>203</v>
      </c>
      <c r="Q118" s="16">
        <v>1.5</v>
      </c>
      <c r="R118" s="4">
        <v>0</v>
      </c>
      <c r="S118" s="6">
        <v>32.134500000000003</v>
      </c>
      <c r="T118" s="6">
        <v>40.400399999999998</v>
      </c>
      <c r="U118" s="6"/>
      <c r="V118" s="6">
        <v>51.23</v>
      </c>
      <c r="W118" s="6">
        <v>87.807500000000005</v>
      </c>
      <c r="X118" s="6">
        <v>100</v>
      </c>
      <c r="Y118" s="6">
        <v>100</v>
      </c>
    </row>
    <row r="119" spans="1:25" x14ac:dyDescent="0.25">
      <c r="A119" s="1" t="s">
        <v>11</v>
      </c>
      <c r="B119" s="3" t="s">
        <v>147</v>
      </c>
      <c r="C119" s="21">
        <v>2.1</v>
      </c>
      <c r="D119" s="10" t="s">
        <v>17</v>
      </c>
      <c r="E119" s="11">
        <v>3.5</v>
      </c>
      <c r="F119" s="11" t="s">
        <v>18</v>
      </c>
      <c r="G119" s="11">
        <v>4.5</v>
      </c>
      <c r="H119" s="11">
        <v>4.5</v>
      </c>
      <c r="I119" s="11">
        <v>4.5</v>
      </c>
      <c r="J119" s="11">
        <v>3.5</v>
      </c>
      <c r="K119" s="16">
        <v>4.5</v>
      </c>
      <c r="L119" s="16">
        <v>4.5</v>
      </c>
      <c r="M119" s="16">
        <v>4.5</v>
      </c>
      <c r="N119" s="16" t="s">
        <v>201</v>
      </c>
      <c r="O119" s="16" t="s">
        <v>201</v>
      </c>
      <c r="P119" s="16">
        <v>3.5</v>
      </c>
      <c r="Q119" s="16">
        <v>3.5</v>
      </c>
      <c r="R119" s="4">
        <v>0</v>
      </c>
      <c r="S119" s="6">
        <v>29.882999999999999</v>
      </c>
      <c r="T119" s="6">
        <v>37.569699999999997</v>
      </c>
      <c r="U119" s="6"/>
      <c r="V119" s="6">
        <v>48.28</v>
      </c>
      <c r="W119" s="6">
        <v>87.07</v>
      </c>
      <c r="X119" s="6">
        <v>100</v>
      </c>
      <c r="Y119" s="6">
        <v>100</v>
      </c>
    </row>
    <row r="120" spans="1:25" x14ac:dyDescent="0.25">
      <c r="A120" s="1" t="s">
        <v>12</v>
      </c>
      <c r="B120" s="3" t="s">
        <v>148</v>
      </c>
      <c r="C120" s="21">
        <v>4.5</v>
      </c>
      <c r="D120" s="10" t="s">
        <v>20</v>
      </c>
      <c r="E120" s="11" t="s">
        <v>17</v>
      </c>
      <c r="F120" s="11">
        <v>2.5</v>
      </c>
      <c r="G120" s="11">
        <v>4.5</v>
      </c>
      <c r="H120" s="11">
        <v>4.5</v>
      </c>
      <c r="I120" s="11">
        <v>4.5</v>
      </c>
      <c r="J120" s="11" t="s">
        <v>19</v>
      </c>
      <c r="K120" s="16">
        <v>3.5</v>
      </c>
      <c r="L120" s="16" t="s">
        <v>202</v>
      </c>
      <c r="M120" s="16">
        <v>2.5</v>
      </c>
      <c r="N120" s="16" t="s">
        <v>203</v>
      </c>
      <c r="O120" s="16">
        <v>1.5</v>
      </c>
      <c r="P120" s="16" t="s">
        <v>204</v>
      </c>
      <c r="Q120" s="16" t="s">
        <v>204</v>
      </c>
      <c r="R120" s="4">
        <v>0</v>
      </c>
      <c r="S120" s="6">
        <v>17.4086</v>
      </c>
      <c r="T120" s="6">
        <v>21.886600000000001</v>
      </c>
      <c r="U120" s="6"/>
      <c r="V120" s="6">
        <v>30.1</v>
      </c>
      <c r="W120" s="6">
        <v>82.525000000000006</v>
      </c>
      <c r="X120" s="6">
        <v>100</v>
      </c>
      <c r="Y120" s="6">
        <v>100</v>
      </c>
    </row>
    <row r="121" spans="1:25" x14ac:dyDescent="0.25">
      <c r="A121" s="1" t="s">
        <v>12</v>
      </c>
      <c r="B121" s="3" t="s">
        <v>149</v>
      </c>
      <c r="C121" s="21">
        <v>3</v>
      </c>
      <c r="D121" s="10">
        <v>5.5</v>
      </c>
      <c r="E121" s="11" t="s">
        <v>17</v>
      </c>
      <c r="F121" s="11">
        <v>3.5</v>
      </c>
      <c r="G121" s="11">
        <v>4.5</v>
      </c>
      <c r="H121" s="11">
        <v>4.5</v>
      </c>
      <c r="I121" s="11">
        <v>4.5</v>
      </c>
      <c r="J121" s="11">
        <v>2.5</v>
      </c>
      <c r="K121" s="16">
        <v>4.5</v>
      </c>
      <c r="L121" s="16">
        <v>4.5</v>
      </c>
      <c r="M121" s="16">
        <v>4.5</v>
      </c>
      <c r="N121" s="16" t="s">
        <v>201</v>
      </c>
      <c r="O121" s="16" t="s">
        <v>201</v>
      </c>
      <c r="P121" s="16">
        <v>3.5</v>
      </c>
      <c r="Q121" s="16">
        <v>3.5</v>
      </c>
      <c r="R121" s="4">
        <v>0</v>
      </c>
      <c r="S121" s="6">
        <v>15.5136</v>
      </c>
      <c r="T121" s="6">
        <v>19.504100000000001</v>
      </c>
      <c r="U121" s="6"/>
      <c r="V121" s="6">
        <v>58.11</v>
      </c>
      <c r="W121" s="6">
        <v>89.527500000000003</v>
      </c>
      <c r="X121" s="6">
        <v>100</v>
      </c>
      <c r="Y121" s="6">
        <v>100</v>
      </c>
    </row>
    <row r="122" spans="1:25" x14ac:dyDescent="0.25">
      <c r="A122" s="1" t="s">
        <v>12</v>
      </c>
      <c r="B122" s="3" t="s">
        <v>150</v>
      </c>
      <c r="C122" s="21">
        <v>3</v>
      </c>
      <c r="D122" s="10" t="s">
        <v>22</v>
      </c>
      <c r="E122" s="11" t="s">
        <v>17</v>
      </c>
      <c r="F122" s="11" t="s">
        <v>18</v>
      </c>
      <c r="G122" s="11">
        <v>4.5</v>
      </c>
      <c r="H122" s="11">
        <v>4.5</v>
      </c>
      <c r="I122" s="11">
        <v>4.5</v>
      </c>
      <c r="J122" s="11">
        <v>3.5</v>
      </c>
      <c r="K122" s="16">
        <v>4.5</v>
      </c>
      <c r="L122" s="16" t="s">
        <v>201</v>
      </c>
      <c r="M122" s="16" t="s">
        <v>201</v>
      </c>
      <c r="N122" s="16">
        <v>3.5</v>
      </c>
      <c r="O122" s="16">
        <v>2.5</v>
      </c>
      <c r="P122" s="16">
        <v>2.5</v>
      </c>
      <c r="Q122" s="16" t="s">
        <v>203</v>
      </c>
      <c r="R122" s="4">
        <v>0</v>
      </c>
      <c r="S122" s="6">
        <v>21.648700000000002</v>
      </c>
      <c r="T122" s="6">
        <v>27.217300000000002</v>
      </c>
      <c r="U122" s="6"/>
      <c r="V122" s="6">
        <v>36.770000000000003</v>
      </c>
      <c r="W122" s="6">
        <v>84.192499999999995</v>
      </c>
      <c r="X122" s="6">
        <v>100</v>
      </c>
      <c r="Y122" s="6">
        <v>100</v>
      </c>
    </row>
    <row r="123" spans="1:25" x14ac:dyDescent="0.25">
      <c r="A123" s="1" t="s">
        <v>12</v>
      </c>
      <c r="B123" s="3" t="s">
        <v>151</v>
      </c>
      <c r="C123" s="21">
        <v>2.6</v>
      </c>
      <c r="D123" s="10">
        <v>4.5</v>
      </c>
      <c r="E123" s="11">
        <v>3.5</v>
      </c>
      <c r="F123" s="11">
        <v>2.5</v>
      </c>
      <c r="G123" s="11">
        <v>4.5</v>
      </c>
      <c r="H123" s="11">
        <v>4.5</v>
      </c>
      <c r="I123" s="11" t="s">
        <v>17</v>
      </c>
      <c r="J123" s="11">
        <v>2.5</v>
      </c>
      <c r="K123" s="16">
        <v>4.5</v>
      </c>
      <c r="L123" s="16" t="s">
        <v>201</v>
      </c>
      <c r="M123" s="16" t="s">
        <v>201</v>
      </c>
      <c r="N123" s="16">
        <v>3.5</v>
      </c>
      <c r="O123" s="16" t="s">
        <v>202</v>
      </c>
      <c r="P123" s="16">
        <v>2.5</v>
      </c>
      <c r="Q123" s="16" t="s">
        <v>203</v>
      </c>
      <c r="R123" s="4">
        <v>0</v>
      </c>
      <c r="S123" s="6">
        <v>33.6432</v>
      </c>
      <c r="T123" s="6">
        <v>42.297199999999997</v>
      </c>
      <c r="U123" s="6"/>
      <c r="V123" s="6">
        <v>61.37</v>
      </c>
      <c r="W123" s="6">
        <v>90.342500000000001</v>
      </c>
      <c r="X123" s="6">
        <v>100</v>
      </c>
      <c r="Y123" s="6">
        <v>100</v>
      </c>
    </row>
    <row r="124" spans="1:25" x14ac:dyDescent="0.25">
      <c r="A124" s="1" t="s">
        <v>12</v>
      </c>
      <c r="B124" s="3" t="s">
        <v>152</v>
      </c>
      <c r="C124" s="21">
        <v>2.7</v>
      </c>
      <c r="D124" s="10">
        <v>4.5</v>
      </c>
      <c r="E124" s="11">
        <v>3.5</v>
      </c>
      <c r="F124" s="11">
        <v>2.5</v>
      </c>
      <c r="G124" s="11">
        <v>4.5</v>
      </c>
      <c r="H124" s="11">
        <v>4.5</v>
      </c>
      <c r="I124" s="11">
        <v>4.5</v>
      </c>
      <c r="J124" s="11" t="s">
        <v>17</v>
      </c>
      <c r="K124" s="16">
        <v>4.5</v>
      </c>
      <c r="L124" s="16">
        <v>4.5</v>
      </c>
      <c r="M124" s="16">
        <v>4.5</v>
      </c>
      <c r="N124" s="16">
        <v>4.5</v>
      </c>
      <c r="O124" s="16">
        <v>4.5</v>
      </c>
      <c r="P124" s="16">
        <v>4.5</v>
      </c>
      <c r="Q124" s="16">
        <v>4.5</v>
      </c>
      <c r="R124" s="4">
        <v>0</v>
      </c>
      <c r="S124" s="6">
        <v>41.466200000000001</v>
      </c>
      <c r="T124" s="6">
        <v>52.1325</v>
      </c>
      <c r="U124" s="6"/>
      <c r="V124" s="6">
        <v>82.92</v>
      </c>
      <c r="W124" s="6">
        <v>95.73</v>
      </c>
      <c r="X124" s="6">
        <v>100</v>
      </c>
      <c r="Y124" s="6">
        <v>100</v>
      </c>
    </row>
    <row r="125" spans="1:25" x14ac:dyDescent="0.25">
      <c r="A125" s="1" t="s">
        <v>12</v>
      </c>
      <c r="B125" s="3" t="s">
        <v>153</v>
      </c>
      <c r="C125" s="21">
        <v>2.5</v>
      </c>
      <c r="D125" s="10">
        <v>4.5</v>
      </c>
      <c r="E125" s="11">
        <v>3.5</v>
      </c>
      <c r="F125" s="11">
        <v>2.5</v>
      </c>
      <c r="G125" s="11">
        <v>4.5</v>
      </c>
      <c r="H125" s="11">
        <v>4.5</v>
      </c>
      <c r="I125" s="11">
        <v>4.5</v>
      </c>
      <c r="J125" s="11">
        <v>2.5</v>
      </c>
      <c r="K125" s="16">
        <v>4.5</v>
      </c>
      <c r="L125" s="16">
        <v>4.5</v>
      </c>
      <c r="M125" s="16" t="s">
        <v>201</v>
      </c>
      <c r="N125" s="16" t="s">
        <v>201</v>
      </c>
      <c r="O125" s="16">
        <v>3.5</v>
      </c>
      <c r="P125" s="16" t="s">
        <v>202</v>
      </c>
      <c r="Q125" s="16">
        <v>2.5</v>
      </c>
      <c r="R125" s="4">
        <v>0</v>
      </c>
      <c r="S125" s="6">
        <v>36.901600000000002</v>
      </c>
      <c r="T125" s="6">
        <v>46.393700000000003</v>
      </c>
      <c r="U125" s="6"/>
      <c r="V125" s="6">
        <v>57.01</v>
      </c>
      <c r="W125" s="6">
        <v>89.252499999999998</v>
      </c>
      <c r="X125" s="6">
        <v>100</v>
      </c>
      <c r="Y125" s="6">
        <v>100</v>
      </c>
    </row>
    <row r="126" spans="1:25" x14ac:dyDescent="0.25">
      <c r="A126" s="1" t="s">
        <v>12</v>
      </c>
      <c r="B126" s="3" t="s">
        <v>154</v>
      </c>
      <c r="C126" s="21">
        <v>5</v>
      </c>
      <c r="D126" s="10" t="s">
        <v>22</v>
      </c>
      <c r="E126" s="11" t="s">
        <v>17</v>
      </c>
      <c r="F126" s="11" t="s">
        <v>19</v>
      </c>
      <c r="G126" s="11">
        <v>4.5</v>
      </c>
      <c r="H126" s="11">
        <v>4.5</v>
      </c>
      <c r="I126" s="11">
        <v>4.5</v>
      </c>
      <c r="J126" s="11" t="s">
        <v>17</v>
      </c>
      <c r="K126" s="16">
        <v>4.5</v>
      </c>
      <c r="L126" s="16">
        <v>4.5</v>
      </c>
      <c r="M126" s="16">
        <v>4.5</v>
      </c>
      <c r="N126" s="16">
        <v>4.5</v>
      </c>
      <c r="O126" s="16">
        <v>4.5</v>
      </c>
      <c r="P126" s="16" t="s">
        <v>201</v>
      </c>
      <c r="Q126" s="16" t="s">
        <v>201</v>
      </c>
      <c r="R126" s="4">
        <v>0</v>
      </c>
      <c r="S126" s="6">
        <v>25.992799999999999</v>
      </c>
      <c r="T126" s="6">
        <v>32.678899999999999</v>
      </c>
      <c r="U126" s="6"/>
      <c r="V126" s="6">
        <v>39.1</v>
      </c>
      <c r="W126" s="6">
        <v>84.775000000000006</v>
      </c>
      <c r="X126" s="6">
        <v>100</v>
      </c>
      <c r="Y126" s="6">
        <v>100</v>
      </c>
    </row>
    <row r="127" spans="1:25" x14ac:dyDescent="0.25">
      <c r="A127" s="1" t="s">
        <v>12</v>
      </c>
      <c r="B127" s="3" t="s">
        <v>155</v>
      </c>
      <c r="C127" s="21">
        <v>3</v>
      </c>
      <c r="D127" s="10" t="s">
        <v>20</v>
      </c>
      <c r="E127" s="11">
        <v>3.5</v>
      </c>
      <c r="F127" s="11">
        <v>3.5</v>
      </c>
      <c r="G127" s="11">
        <v>4.5</v>
      </c>
      <c r="H127" s="11">
        <v>4.5</v>
      </c>
      <c r="I127" s="11" t="s">
        <v>18</v>
      </c>
      <c r="J127" s="11">
        <v>1.5</v>
      </c>
      <c r="K127" s="16">
        <v>4.5</v>
      </c>
      <c r="L127" s="16" t="s">
        <v>201</v>
      </c>
      <c r="M127" s="16">
        <v>3.5</v>
      </c>
      <c r="N127" s="16" t="s">
        <v>202</v>
      </c>
      <c r="O127" s="16">
        <v>2.5</v>
      </c>
      <c r="P127" s="16" t="s">
        <v>203</v>
      </c>
      <c r="Q127" s="16">
        <v>1.5</v>
      </c>
      <c r="R127" s="7">
        <v>0</v>
      </c>
      <c r="S127" s="8">
        <v>41.1325</v>
      </c>
      <c r="T127" s="8">
        <v>51.712899999999998</v>
      </c>
      <c r="U127" s="8"/>
      <c r="V127" s="8">
        <v>51.88</v>
      </c>
      <c r="W127" s="8">
        <v>87.97</v>
      </c>
      <c r="X127" s="8">
        <v>100</v>
      </c>
      <c r="Y127" s="8">
        <v>100</v>
      </c>
    </row>
    <row r="128" spans="1:25" x14ac:dyDescent="0.25">
      <c r="A128" s="1" t="s">
        <v>12</v>
      </c>
      <c r="B128" s="3" t="s">
        <v>156</v>
      </c>
      <c r="C128" s="23">
        <v>1.2</v>
      </c>
      <c r="D128" s="10">
        <v>4.5</v>
      </c>
      <c r="E128" s="11" t="s">
        <v>18</v>
      </c>
      <c r="F128" s="11" t="s">
        <v>18</v>
      </c>
      <c r="G128" s="11">
        <v>4.5</v>
      </c>
      <c r="H128" s="11">
        <v>4.5</v>
      </c>
      <c r="I128" s="11" t="s">
        <v>18</v>
      </c>
      <c r="J128" s="11">
        <v>1.5</v>
      </c>
      <c r="K128" s="17" t="s">
        <v>199</v>
      </c>
      <c r="L128" s="17">
        <v>3.5</v>
      </c>
      <c r="M128" s="17">
        <v>3.5</v>
      </c>
      <c r="N128" s="17" t="s">
        <v>198</v>
      </c>
      <c r="O128" s="17">
        <v>2.5</v>
      </c>
      <c r="P128" s="17" t="s">
        <v>200</v>
      </c>
      <c r="Q128" s="17">
        <v>1.5</v>
      </c>
      <c r="R128" s="7">
        <v>0</v>
      </c>
      <c r="S128" s="8">
        <v>25.0868</v>
      </c>
      <c r="T128" s="8">
        <v>33.0764</v>
      </c>
      <c r="U128" s="8"/>
      <c r="V128" s="8">
        <v>48.55</v>
      </c>
      <c r="W128" s="8">
        <v>90.15</v>
      </c>
      <c r="X128" s="8">
        <v>100</v>
      </c>
      <c r="Y128" s="8">
        <v>100</v>
      </c>
    </row>
    <row r="129" spans="1:25" x14ac:dyDescent="0.25">
      <c r="A129" s="1" t="s">
        <v>12</v>
      </c>
      <c r="B129" s="3" t="s">
        <v>157</v>
      </c>
      <c r="C129" s="21">
        <v>2.4</v>
      </c>
      <c r="D129" s="10">
        <v>6.5</v>
      </c>
      <c r="E129" s="11">
        <v>4.5</v>
      </c>
      <c r="F129" s="11" t="s">
        <v>17</v>
      </c>
      <c r="G129" s="11">
        <v>4.5</v>
      </c>
      <c r="H129" s="11">
        <v>4.5</v>
      </c>
      <c r="I129" s="11">
        <v>4.5</v>
      </c>
      <c r="J129" s="11">
        <v>2.5</v>
      </c>
      <c r="K129" s="16">
        <v>4.5</v>
      </c>
      <c r="L129" s="16">
        <v>4.5</v>
      </c>
      <c r="M129" s="16">
        <v>4.5</v>
      </c>
      <c r="N129" s="16">
        <v>4.5</v>
      </c>
      <c r="O129" s="16">
        <v>4.5</v>
      </c>
      <c r="P129" s="16">
        <v>3.5</v>
      </c>
      <c r="Q129" s="16">
        <v>3.5</v>
      </c>
      <c r="R129" s="4">
        <v>0</v>
      </c>
      <c r="S129" s="6">
        <v>24.203299999999999</v>
      </c>
      <c r="T129" s="6">
        <v>30.428999999999998</v>
      </c>
      <c r="U129" s="6"/>
      <c r="V129" s="6">
        <v>32</v>
      </c>
      <c r="W129" s="6">
        <v>83</v>
      </c>
      <c r="X129" s="6">
        <v>100</v>
      </c>
      <c r="Y129" s="6">
        <v>100</v>
      </c>
    </row>
    <row r="130" spans="1:25" x14ac:dyDescent="0.25">
      <c r="A130" s="1" t="s">
        <v>12</v>
      </c>
      <c r="B130" s="3" t="s">
        <v>158</v>
      </c>
      <c r="C130" s="21">
        <v>3.6</v>
      </c>
      <c r="D130" s="10">
        <v>5.5</v>
      </c>
      <c r="E130" s="11" t="s">
        <v>18</v>
      </c>
      <c r="F130" s="11">
        <v>2.5</v>
      </c>
      <c r="G130" s="11">
        <v>4.5</v>
      </c>
      <c r="H130" s="11">
        <v>4.5</v>
      </c>
      <c r="I130" s="11">
        <v>4.5</v>
      </c>
      <c r="J130" s="11">
        <v>3.5</v>
      </c>
      <c r="K130" s="16">
        <v>4.5</v>
      </c>
      <c r="L130" s="16">
        <v>4.5</v>
      </c>
      <c r="M130" s="16">
        <v>4.5</v>
      </c>
      <c r="N130" s="16">
        <v>4.5</v>
      </c>
      <c r="O130" s="16">
        <v>4.5</v>
      </c>
      <c r="P130" s="16">
        <v>4.5</v>
      </c>
      <c r="Q130" s="16">
        <v>4.5</v>
      </c>
      <c r="R130" s="4">
        <v>0</v>
      </c>
      <c r="S130" s="6">
        <v>25.194400000000002</v>
      </c>
      <c r="T130" s="6">
        <v>31.6751</v>
      </c>
      <c r="U130" s="6"/>
      <c r="V130" s="6">
        <v>29.07</v>
      </c>
      <c r="W130" s="6">
        <v>82.267499999999998</v>
      </c>
      <c r="X130" s="6">
        <v>100</v>
      </c>
      <c r="Y130" s="6">
        <v>100</v>
      </c>
    </row>
    <row r="131" spans="1:25" x14ac:dyDescent="0.25">
      <c r="A131" s="1" t="s">
        <v>12</v>
      </c>
      <c r="B131" s="3" t="s">
        <v>159</v>
      </c>
      <c r="C131" s="23">
        <v>2.2000000000000002</v>
      </c>
      <c r="D131" s="10" t="s">
        <v>17</v>
      </c>
      <c r="E131" s="11">
        <v>3.5</v>
      </c>
      <c r="F131" s="11" t="s">
        <v>18</v>
      </c>
      <c r="G131" s="11">
        <v>4.5</v>
      </c>
      <c r="H131" s="11">
        <v>4.5</v>
      </c>
      <c r="I131" s="11">
        <v>4.5</v>
      </c>
      <c r="J131" s="11" t="s">
        <v>17</v>
      </c>
      <c r="K131" s="16">
        <v>4.5</v>
      </c>
      <c r="L131" s="16">
        <v>4.5</v>
      </c>
      <c r="M131" s="16">
        <v>4.5</v>
      </c>
      <c r="N131" s="16">
        <v>4.5</v>
      </c>
      <c r="O131" s="16" t="s">
        <v>201</v>
      </c>
      <c r="P131" s="16" t="s">
        <v>201</v>
      </c>
      <c r="Q131" s="16" t="s">
        <v>201</v>
      </c>
      <c r="R131" s="4">
        <v>0</v>
      </c>
      <c r="S131" s="6">
        <v>35.718299999999999</v>
      </c>
      <c r="T131" s="6">
        <v>44.906100000000002</v>
      </c>
      <c r="U131" s="6"/>
      <c r="V131" s="6">
        <v>55.43</v>
      </c>
      <c r="W131" s="6">
        <v>88.857500000000002</v>
      </c>
      <c r="X131" s="6">
        <v>100</v>
      </c>
      <c r="Y131" s="6">
        <v>100</v>
      </c>
    </row>
    <row r="132" spans="1:25" x14ac:dyDescent="0.25">
      <c r="A132" s="1" t="s">
        <v>12</v>
      </c>
      <c r="B132" s="3" t="s">
        <v>160</v>
      </c>
      <c r="C132" s="23">
        <v>2.2000000000000002</v>
      </c>
      <c r="D132" s="10" t="s">
        <v>22</v>
      </c>
      <c r="E132" s="11" t="s">
        <v>17</v>
      </c>
      <c r="F132" s="11">
        <v>3.5</v>
      </c>
      <c r="G132" s="11">
        <v>4.5</v>
      </c>
      <c r="H132" s="11">
        <v>4.5</v>
      </c>
      <c r="I132" s="11" t="s">
        <v>17</v>
      </c>
      <c r="J132" s="11">
        <v>1.5</v>
      </c>
      <c r="K132" s="16">
        <v>3.5</v>
      </c>
      <c r="L132" s="16">
        <v>2.5</v>
      </c>
      <c r="M132" s="16" t="s">
        <v>203</v>
      </c>
      <c r="N132" s="16">
        <v>1.5</v>
      </c>
      <c r="O132" s="16">
        <v>1.5</v>
      </c>
      <c r="P132" s="16" t="s">
        <v>204</v>
      </c>
      <c r="Q132" s="16" t="s">
        <v>204</v>
      </c>
      <c r="R132" s="7">
        <v>0</v>
      </c>
      <c r="S132" s="8">
        <v>56.826935768367747</v>
      </c>
      <c r="T132" s="8">
        <v>67.659799133658922</v>
      </c>
      <c r="U132" s="8"/>
      <c r="V132" s="8">
        <v>47.36</v>
      </c>
      <c r="W132" s="8">
        <v>83.6</v>
      </c>
      <c r="X132" s="8">
        <v>100</v>
      </c>
      <c r="Y132" s="8">
        <v>100</v>
      </c>
    </row>
    <row r="133" spans="1:25" x14ac:dyDescent="0.25">
      <c r="A133" s="1" t="s">
        <v>12</v>
      </c>
      <c r="B133" s="3" t="s">
        <v>161</v>
      </c>
      <c r="C133" s="23">
        <v>2</v>
      </c>
      <c r="D133" s="10" t="s">
        <v>17</v>
      </c>
      <c r="E133" s="11">
        <v>3.5</v>
      </c>
      <c r="F133" s="11" t="s">
        <v>18</v>
      </c>
      <c r="G133" s="11">
        <v>4.5</v>
      </c>
      <c r="H133" s="11">
        <v>4.5</v>
      </c>
      <c r="I133" s="11">
        <v>4.5</v>
      </c>
      <c r="J133" s="11">
        <v>2.5</v>
      </c>
      <c r="K133" s="16">
        <v>4.5</v>
      </c>
      <c r="L133" s="16">
        <v>4.5</v>
      </c>
      <c r="M133" s="16">
        <v>4.5</v>
      </c>
      <c r="N133" s="16" t="s">
        <v>201</v>
      </c>
      <c r="O133" s="16">
        <v>3.5</v>
      </c>
      <c r="P133" s="16">
        <v>2.5</v>
      </c>
      <c r="Q133" s="16">
        <v>2.5</v>
      </c>
    </row>
    <row r="134" spans="1:25" x14ac:dyDescent="0.25">
      <c r="A134" s="1" t="s">
        <v>13</v>
      </c>
      <c r="B134" s="3" t="s">
        <v>162</v>
      </c>
      <c r="C134" s="21">
        <v>5</v>
      </c>
      <c r="D134" s="10" t="s">
        <v>20</v>
      </c>
      <c r="E134" s="11" t="s">
        <v>17</v>
      </c>
      <c r="F134" s="11" t="s">
        <v>17</v>
      </c>
      <c r="G134" s="11">
        <v>4.5</v>
      </c>
      <c r="H134" s="11">
        <v>4.5</v>
      </c>
      <c r="I134" s="11">
        <v>4.5</v>
      </c>
      <c r="J134" s="11" t="s">
        <v>17</v>
      </c>
      <c r="K134" s="16">
        <v>4.5</v>
      </c>
      <c r="L134" s="16">
        <v>4.5</v>
      </c>
      <c r="M134" s="16">
        <v>4.5</v>
      </c>
      <c r="N134" s="16">
        <v>4.5</v>
      </c>
      <c r="O134" s="16" t="s">
        <v>201</v>
      </c>
      <c r="P134" s="16">
        <v>3.5</v>
      </c>
      <c r="Q134" s="16">
        <v>3.5</v>
      </c>
      <c r="R134" s="7">
        <v>0</v>
      </c>
      <c r="S134" s="8">
        <v>20</v>
      </c>
      <c r="T134" s="8">
        <v>27</v>
      </c>
      <c r="U134" s="8"/>
      <c r="V134" s="8">
        <v>51.14</v>
      </c>
      <c r="W134" s="8">
        <v>93.95</v>
      </c>
      <c r="X134" s="8">
        <v>100</v>
      </c>
      <c r="Y134" s="8">
        <v>100</v>
      </c>
    </row>
    <row r="135" spans="1:25" x14ac:dyDescent="0.25">
      <c r="A135" s="1" t="s">
        <v>13</v>
      </c>
      <c r="B135" s="3" t="s">
        <v>163</v>
      </c>
      <c r="C135" s="21">
        <v>5</v>
      </c>
      <c r="D135" s="10" t="s">
        <v>20</v>
      </c>
      <c r="E135" s="11" t="s">
        <v>17</v>
      </c>
      <c r="F135" s="11" t="s">
        <v>17</v>
      </c>
      <c r="G135" s="11">
        <v>4.5</v>
      </c>
      <c r="H135" s="11">
        <v>4.5</v>
      </c>
      <c r="I135" s="11">
        <v>4.5</v>
      </c>
      <c r="J135" s="11" t="s">
        <v>17</v>
      </c>
      <c r="K135" s="16">
        <v>4.5</v>
      </c>
      <c r="L135" s="16">
        <v>4.5</v>
      </c>
      <c r="M135" s="16">
        <v>4.5</v>
      </c>
      <c r="N135" s="16">
        <v>4.5</v>
      </c>
      <c r="O135" s="16" t="s">
        <v>201</v>
      </c>
      <c r="P135" s="16">
        <v>3.5</v>
      </c>
      <c r="Q135" s="16">
        <v>3.5</v>
      </c>
    </row>
    <row r="136" spans="1:25" x14ac:dyDescent="0.25">
      <c r="A136" s="1" t="s">
        <v>13</v>
      </c>
      <c r="B136" s="3" t="s">
        <v>164</v>
      </c>
      <c r="C136" s="21">
        <v>5</v>
      </c>
      <c r="D136" s="10" t="s">
        <v>20</v>
      </c>
      <c r="E136" s="11" t="s">
        <v>17</v>
      </c>
      <c r="F136" s="11" t="s">
        <v>17</v>
      </c>
      <c r="G136" s="11">
        <v>4.5</v>
      </c>
      <c r="H136" s="11">
        <v>4.5</v>
      </c>
      <c r="I136" s="11">
        <v>4.5</v>
      </c>
      <c r="J136" s="11">
        <v>3.5</v>
      </c>
      <c r="K136" s="16">
        <v>4.5</v>
      </c>
      <c r="L136" s="16">
        <v>4.5</v>
      </c>
      <c r="M136" s="16">
        <v>4.5</v>
      </c>
      <c r="N136" s="16">
        <v>4.5</v>
      </c>
      <c r="O136" s="16" t="s">
        <v>201</v>
      </c>
      <c r="P136" s="16">
        <v>3.5</v>
      </c>
      <c r="Q136" s="16">
        <v>3.5</v>
      </c>
    </row>
    <row r="137" spans="1:25" x14ac:dyDescent="0.25">
      <c r="A137" s="1" t="s">
        <v>13</v>
      </c>
      <c r="B137" s="3" t="s">
        <v>165</v>
      </c>
      <c r="C137" s="21">
        <v>5</v>
      </c>
      <c r="D137" s="10" t="s">
        <v>20</v>
      </c>
      <c r="E137" s="11" t="s">
        <v>17</v>
      </c>
      <c r="F137" s="11" t="s">
        <v>17</v>
      </c>
      <c r="G137" s="11">
        <v>4.5</v>
      </c>
      <c r="H137" s="11">
        <v>4.5</v>
      </c>
      <c r="I137" s="11">
        <v>4.5</v>
      </c>
      <c r="J137" s="11" t="s">
        <v>17</v>
      </c>
      <c r="K137" s="16">
        <v>4.5</v>
      </c>
      <c r="L137" s="16">
        <v>4.5</v>
      </c>
      <c r="M137" s="16">
        <v>4.5</v>
      </c>
      <c r="N137" s="16">
        <v>4.5</v>
      </c>
      <c r="O137" s="16" t="s">
        <v>201</v>
      </c>
      <c r="P137" s="16">
        <v>3.5</v>
      </c>
      <c r="Q137" s="16">
        <v>3.5</v>
      </c>
    </row>
    <row r="138" spans="1:25" x14ac:dyDescent="0.25">
      <c r="A138" s="1" t="s">
        <v>13</v>
      </c>
      <c r="B138" s="3" t="s">
        <v>166</v>
      </c>
      <c r="C138" s="21">
        <v>6</v>
      </c>
      <c r="D138" s="10">
        <v>4.5</v>
      </c>
      <c r="E138" s="11" t="s">
        <v>17</v>
      </c>
      <c r="F138" s="11">
        <v>3.5</v>
      </c>
      <c r="G138" s="11">
        <v>4.5</v>
      </c>
      <c r="H138" s="11" t="s">
        <v>17</v>
      </c>
      <c r="I138" s="11" t="s">
        <v>17</v>
      </c>
      <c r="J138" s="11">
        <v>3.5</v>
      </c>
      <c r="K138" s="16">
        <v>4.5</v>
      </c>
      <c r="L138" s="16">
        <v>4.5</v>
      </c>
      <c r="M138" s="16">
        <v>4.5</v>
      </c>
      <c r="N138" s="16">
        <v>4.5</v>
      </c>
      <c r="O138" s="16">
        <v>4.5</v>
      </c>
      <c r="P138" s="16" t="s">
        <v>201</v>
      </c>
      <c r="Q138" s="16" t="s">
        <v>201</v>
      </c>
      <c r="R138" s="7">
        <v>0</v>
      </c>
      <c r="S138" s="8">
        <v>26.570799999999998</v>
      </c>
      <c r="T138" s="8">
        <v>33.4056</v>
      </c>
      <c r="U138" s="8"/>
      <c r="V138" s="8">
        <v>36.32</v>
      </c>
      <c r="W138" s="8">
        <v>70.040000000000006</v>
      </c>
      <c r="X138" s="8">
        <v>100</v>
      </c>
      <c r="Y138" s="8">
        <v>100</v>
      </c>
    </row>
    <row r="139" spans="1:25" x14ac:dyDescent="0.25">
      <c r="A139" s="1" t="s">
        <v>13</v>
      </c>
      <c r="B139" s="3" t="s">
        <v>167</v>
      </c>
      <c r="C139" s="21">
        <v>6</v>
      </c>
      <c r="D139" s="10" t="s">
        <v>20</v>
      </c>
      <c r="E139" s="11" t="s">
        <v>17</v>
      </c>
      <c r="F139" s="11" t="s">
        <v>17</v>
      </c>
      <c r="G139" s="11" t="s">
        <v>17</v>
      </c>
      <c r="H139" s="11" t="s">
        <v>17</v>
      </c>
      <c r="I139" s="11" t="s">
        <v>17</v>
      </c>
      <c r="J139" s="11" t="s">
        <v>17</v>
      </c>
      <c r="K139" s="16">
        <v>4.5</v>
      </c>
      <c r="L139" s="16">
        <v>4.5</v>
      </c>
      <c r="M139" s="16">
        <v>4.5</v>
      </c>
      <c r="N139" s="16">
        <v>4.5</v>
      </c>
      <c r="O139" s="16" t="s">
        <v>201</v>
      </c>
      <c r="P139" s="16">
        <v>3.5</v>
      </c>
      <c r="Q139" s="16" t="s">
        <v>202</v>
      </c>
      <c r="R139" s="7">
        <v>0</v>
      </c>
      <c r="S139" s="8">
        <v>19</v>
      </c>
      <c r="T139" s="8">
        <v>25</v>
      </c>
      <c r="U139" s="8"/>
      <c r="V139" s="8">
        <v>42.69</v>
      </c>
      <c r="W139" s="8">
        <v>83.61</v>
      </c>
      <c r="X139" s="8">
        <v>100</v>
      </c>
      <c r="Y139" s="8">
        <v>100</v>
      </c>
    </row>
    <row r="140" spans="1:25" x14ac:dyDescent="0.25">
      <c r="A140" s="1" t="s">
        <v>13</v>
      </c>
      <c r="B140" s="3" t="s">
        <v>168</v>
      </c>
      <c r="C140" s="21">
        <v>6</v>
      </c>
      <c r="D140" s="10" t="s">
        <v>20</v>
      </c>
      <c r="E140" s="11" t="s">
        <v>17</v>
      </c>
      <c r="F140" s="11" t="s">
        <v>17</v>
      </c>
      <c r="G140" s="11">
        <v>4.5</v>
      </c>
      <c r="H140" s="11" t="s">
        <v>17</v>
      </c>
      <c r="I140" s="11">
        <v>4.5</v>
      </c>
      <c r="J140" s="11" t="s">
        <v>17</v>
      </c>
      <c r="K140" s="16">
        <v>4.5</v>
      </c>
      <c r="L140" s="16">
        <v>4.5</v>
      </c>
      <c r="M140" s="16">
        <v>4.5</v>
      </c>
      <c r="N140" s="16">
        <v>4.5</v>
      </c>
      <c r="O140" s="16" t="s">
        <v>201</v>
      </c>
      <c r="P140" s="16">
        <v>3.5</v>
      </c>
      <c r="Q140" s="16">
        <v>3.5</v>
      </c>
    </row>
    <row r="141" spans="1:25" x14ac:dyDescent="0.25">
      <c r="A141" s="1" t="s">
        <v>13</v>
      </c>
      <c r="B141" s="3" t="s">
        <v>169</v>
      </c>
      <c r="C141" s="21">
        <v>6.5</v>
      </c>
      <c r="D141" s="10">
        <v>4.5</v>
      </c>
      <c r="E141" s="11" t="s">
        <v>17</v>
      </c>
      <c r="F141" s="11" t="s">
        <v>17</v>
      </c>
      <c r="G141" s="11">
        <v>4.5</v>
      </c>
      <c r="H141" s="11" t="s">
        <v>17</v>
      </c>
      <c r="I141" s="11">
        <v>4.5</v>
      </c>
      <c r="J141" s="11" t="s">
        <v>17</v>
      </c>
      <c r="K141" s="16">
        <v>4.5</v>
      </c>
      <c r="L141" s="16">
        <v>4.5</v>
      </c>
      <c r="M141" s="16">
        <v>4.5</v>
      </c>
      <c r="N141" s="16">
        <v>4.5</v>
      </c>
      <c r="O141" s="16" t="s">
        <v>201</v>
      </c>
      <c r="P141" s="16">
        <v>3.5</v>
      </c>
      <c r="Q141" s="16">
        <v>3.5</v>
      </c>
    </row>
    <row r="142" spans="1:25" x14ac:dyDescent="0.25">
      <c r="A142" s="1" t="s">
        <v>13</v>
      </c>
      <c r="B142" s="3" t="s">
        <v>170</v>
      </c>
      <c r="C142" s="21">
        <v>4</v>
      </c>
      <c r="D142" s="10" t="s">
        <v>20</v>
      </c>
      <c r="E142" s="11" t="s">
        <v>17</v>
      </c>
      <c r="F142" s="11" t="s">
        <v>17</v>
      </c>
      <c r="G142" s="11">
        <v>4.5</v>
      </c>
      <c r="H142" s="11">
        <v>4.5</v>
      </c>
      <c r="I142" s="11">
        <v>4.5</v>
      </c>
      <c r="J142" s="11" t="s">
        <v>17</v>
      </c>
      <c r="K142" s="16">
        <v>4.5</v>
      </c>
      <c r="L142" s="16">
        <v>4.5</v>
      </c>
      <c r="M142" s="16">
        <v>4.5</v>
      </c>
      <c r="N142" s="16">
        <v>4.5</v>
      </c>
      <c r="O142" s="16" t="s">
        <v>201</v>
      </c>
      <c r="P142" s="16">
        <v>3.5</v>
      </c>
      <c r="Q142" s="16">
        <v>3.5</v>
      </c>
    </row>
    <row r="143" spans="1:25" x14ac:dyDescent="0.25">
      <c r="A143" s="1" t="s">
        <v>13</v>
      </c>
      <c r="B143" s="3" t="s">
        <v>171</v>
      </c>
      <c r="C143" s="21">
        <v>12</v>
      </c>
      <c r="D143" s="10" t="s">
        <v>20</v>
      </c>
      <c r="E143" s="11" t="s">
        <v>17</v>
      </c>
      <c r="F143" s="11" t="s">
        <v>17</v>
      </c>
      <c r="G143" s="11">
        <v>4.5</v>
      </c>
      <c r="H143" s="11" t="s">
        <v>17</v>
      </c>
      <c r="I143" s="11">
        <v>4.5</v>
      </c>
      <c r="J143" s="11">
        <v>3.5</v>
      </c>
      <c r="K143" s="16">
        <v>4.5</v>
      </c>
      <c r="L143" s="16">
        <v>4.5</v>
      </c>
      <c r="M143" s="16">
        <v>4.5</v>
      </c>
      <c r="N143" s="16">
        <v>4.5</v>
      </c>
      <c r="O143" s="16" t="s">
        <v>201</v>
      </c>
      <c r="P143" s="16">
        <v>3.5</v>
      </c>
      <c r="Q143" s="16">
        <v>3.5</v>
      </c>
    </row>
    <row r="144" spans="1:25" x14ac:dyDescent="0.25">
      <c r="A144" s="1" t="s">
        <v>13</v>
      </c>
      <c r="B144" s="3" t="s">
        <v>172</v>
      </c>
      <c r="C144" s="21">
        <v>12</v>
      </c>
      <c r="D144" s="10" t="s">
        <v>20</v>
      </c>
      <c r="E144" s="11" t="s">
        <v>17</v>
      </c>
      <c r="F144" s="11" t="s">
        <v>17</v>
      </c>
      <c r="G144" s="11" t="s">
        <v>17</v>
      </c>
      <c r="H144" s="11" t="s">
        <v>17</v>
      </c>
      <c r="I144" s="11">
        <v>4.5</v>
      </c>
      <c r="J144" s="11">
        <v>3.5</v>
      </c>
      <c r="K144" s="16">
        <v>4.5</v>
      </c>
      <c r="L144" s="16">
        <v>4.5</v>
      </c>
      <c r="M144" s="16">
        <v>4.5</v>
      </c>
      <c r="N144" s="16">
        <v>4.5</v>
      </c>
      <c r="O144" s="16" t="s">
        <v>201</v>
      </c>
      <c r="P144" s="16">
        <v>3.5</v>
      </c>
      <c r="Q144" s="16">
        <v>3.5</v>
      </c>
    </row>
    <row r="145" spans="1:17" x14ac:dyDescent="0.25">
      <c r="A145" s="1" t="s">
        <v>13</v>
      </c>
      <c r="B145" s="3" t="s">
        <v>173</v>
      </c>
      <c r="C145" s="21">
        <v>12</v>
      </c>
      <c r="D145" s="10" t="s">
        <v>20</v>
      </c>
      <c r="E145" s="11" t="s">
        <v>17</v>
      </c>
      <c r="F145" s="11" t="s">
        <v>17</v>
      </c>
      <c r="G145" s="11">
        <v>4.5</v>
      </c>
      <c r="H145" s="11" t="s">
        <v>17</v>
      </c>
      <c r="I145" s="11">
        <v>4.5</v>
      </c>
      <c r="J145" s="11">
        <v>3.5</v>
      </c>
      <c r="K145" s="16">
        <v>4.5</v>
      </c>
      <c r="L145" s="16">
        <v>4.5</v>
      </c>
      <c r="M145" s="16">
        <v>4.5</v>
      </c>
      <c r="N145" s="16">
        <v>4.5</v>
      </c>
      <c r="O145" s="16" t="s">
        <v>201</v>
      </c>
      <c r="P145" s="16">
        <v>3.5</v>
      </c>
      <c r="Q145" s="16">
        <v>3.5</v>
      </c>
    </row>
    <row r="146" spans="1:17" x14ac:dyDescent="0.25">
      <c r="A146" s="1" t="s">
        <v>13</v>
      </c>
      <c r="B146" s="3" t="s">
        <v>174</v>
      </c>
      <c r="C146" s="21">
        <v>12</v>
      </c>
      <c r="D146" s="10" t="s">
        <v>20</v>
      </c>
      <c r="E146" s="11" t="s">
        <v>17</v>
      </c>
      <c r="F146" s="11" t="s">
        <v>17</v>
      </c>
      <c r="G146" s="11" t="s">
        <v>17</v>
      </c>
      <c r="H146" s="11" t="s">
        <v>17</v>
      </c>
      <c r="I146" s="11">
        <v>4.5</v>
      </c>
      <c r="J146" s="11">
        <v>3.5</v>
      </c>
      <c r="K146" s="16">
        <v>4.5</v>
      </c>
      <c r="L146" s="16">
        <v>4.5</v>
      </c>
      <c r="M146" s="16">
        <v>4.5</v>
      </c>
      <c r="N146" s="16">
        <v>4.5</v>
      </c>
      <c r="O146" s="16" t="s">
        <v>201</v>
      </c>
      <c r="P146" s="16" t="s">
        <v>201</v>
      </c>
      <c r="Q146" s="16">
        <v>3.5</v>
      </c>
    </row>
    <row r="147" spans="1:17" x14ac:dyDescent="0.25">
      <c r="A147" s="1" t="s">
        <v>13</v>
      </c>
      <c r="B147" s="3" t="s">
        <v>175</v>
      </c>
      <c r="C147" s="21">
        <v>12</v>
      </c>
      <c r="D147" s="10" t="s">
        <v>20</v>
      </c>
      <c r="E147" s="11" t="s">
        <v>17</v>
      </c>
      <c r="F147" s="11" t="s">
        <v>17</v>
      </c>
      <c r="G147" s="11" t="s">
        <v>17</v>
      </c>
      <c r="H147" s="11" t="s">
        <v>17</v>
      </c>
      <c r="I147" s="11">
        <v>4.5</v>
      </c>
      <c r="J147" s="11">
        <v>3.5</v>
      </c>
      <c r="K147" s="16">
        <v>4.5</v>
      </c>
      <c r="L147" s="16">
        <v>4.5</v>
      </c>
      <c r="M147" s="16">
        <v>4.5</v>
      </c>
      <c r="N147" s="16" t="s">
        <v>201</v>
      </c>
      <c r="O147" s="16">
        <v>3.5</v>
      </c>
      <c r="P147" s="16">
        <v>3.5</v>
      </c>
      <c r="Q147" s="16" t="s">
        <v>202</v>
      </c>
    </row>
    <row r="148" spans="1:17" x14ac:dyDescent="0.25">
      <c r="A148" s="1" t="s">
        <v>13</v>
      </c>
      <c r="B148" s="3" t="s">
        <v>176</v>
      </c>
      <c r="C148" s="21">
        <v>18</v>
      </c>
      <c r="D148" s="10" t="s">
        <v>20</v>
      </c>
      <c r="E148" s="11" t="s">
        <v>17</v>
      </c>
      <c r="F148" s="11" t="s">
        <v>17</v>
      </c>
      <c r="G148" s="11" t="s">
        <v>17</v>
      </c>
      <c r="H148" s="11">
        <v>3.5</v>
      </c>
      <c r="I148" s="11">
        <v>4.5</v>
      </c>
      <c r="J148" s="11">
        <v>3.5</v>
      </c>
      <c r="K148" s="16">
        <v>4.5</v>
      </c>
      <c r="L148" s="16">
        <v>4.5</v>
      </c>
      <c r="M148" s="16">
        <v>4.5</v>
      </c>
      <c r="N148" s="16">
        <v>4.5</v>
      </c>
      <c r="O148" s="16" t="s">
        <v>201</v>
      </c>
      <c r="P148" s="16">
        <v>3.5</v>
      </c>
      <c r="Q148" s="16">
        <v>3.5</v>
      </c>
    </row>
    <row r="149" spans="1:17" x14ac:dyDescent="0.25">
      <c r="A149" s="1" t="s">
        <v>13</v>
      </c>
      <c r="B149" s="3" t="s">
        <v>177</v>
      </c>
      <c r="C149" s="21">
        <v>18</v>
      </c>
      <c r="D149" s="10" t="s">
        <v>20</v>
      </c>
      <c r="E149" s="11" t="s">
        <v>17</v>
      </c>
      <c r="F149" s="11" t="s">
        <v>17</v>
      </c>
      <c r="G149" s="11">
        <v>4.5</v>
      </c>
      <c r="H149" s="11" t="s">
        <v>17</v>
      </c>
      <c r="I149" s="11">
        <v>4.5</v>
      </c>
      <c r="J149" s="11">
        <v>3.5</v>
      </c>
      <c r="K149" s="16">
        <v>4.5</v>
      </c>
      <c r="L149" s="16">
        <v>4.5</v>
      </c>
      <c r="M149" s="16">
        <v>4.5</v>
      </c>
      <c r="N149" s="16">
        <v>4.5</v>
      </c>
      <c r="O149" s="16">
        <v>4.5</v>
      </c>
      <c r="P149" s="16" t="s">
        <v>201</v>
      </c>
      <c r="Q149" s="16" t="s">
        <v>201</v>
      </c>
    </row>
    <row r="150" spans="1:17" x14ac:dyDescent="0.3">
      <c r="A150" s="3" t="s">
        <v>30</v>
      </c>
      <c r="B150" s="3" t="s">
        <v>178</v>
      </c>
      <c r="C150" s="21">
        <v>5</v>
      </c>
      <c r="D150" s="11">
        <v>4.5</v>
      </c>
      <c r="E150" s="12">
        <v>3.5</v>
      </c>
      <c r="F150" s="12">
        <v>3.5</v>
      </c>
      <c r="G150" s="12">
        <v>3.5</v>
      </c>
      <c r="H150" s="12">
        <v>3.5</v>
      </c>
      <c r="I150" s="12" t="s">
        <v>17</v>
      </c>
      <c r="J150" s="12" t="s">
        <v>19</v>
      </c>
      <c r="K150" s="19"/>
      <c r="L150" s="19"/>
      <c r="M150" s="19"/>
      <c r="N150" s="19"/>
      <c r="O150" s="19"/>
      <c r="P150" s="19"/>
      <c r="Q150" s="19"/>
    </row>
    <row r="151" spans="1:17" x14ac:dyDescent="0.3">
      <c r="A151" s="3" t="s">
        <v>30</v>
      </c>
      <c r="B151" s="3" t="s">
        <v>179</v>
      </c>
      <c r="C151" s="21">
        <v>5</v>
      </c>
      <c r="D151" s="11" t="s">
        <v>20</v>
      </c>
      <c r="E151" s="12" t="s">
        <v>17</v>
      </c>
      <c r="F151" s="12">
        <v>3.5</v>
      </c>
      <c r="G151" s="12">
        <v>4.5</v>
      </c>
      <c r="H151" s="12">
        <v>4.5</v>
      </c>
      <c r="I151" s="12" t="s">
        <v>18</v>
      </c>
      <c r="J151" s="12" t="s">
        <v>17</v>
      </c>
      <c r="K151" s="19"/>
      <c r="L151" s="19"/>
      <c r="M151" s="19"/>
      <c r="N151" s="19"/>
      <c r="O151" s="19"/>
      <c r="P151" s="19"/>
      <c r="Q151" s="19"/>
    </row>
    <row r="152" spans="1:17" x14ac:dyDescent="0.3">
      <c r="A152" s="3" t="s">
        <v>30</v>
      </c>
      <c r="B152" s="3" t="s">
        <v>180</v>
      </c>
      <c r="C152" s="21">
        <v>2.6</v>
      </c>
      <c r="D152" s="11" t="s">
        <v>17</v>
      </c>
      <c r="E152" s="12">
        <v>3.5</v>
      </c>
      <c r="F152" s="12" t="s">
        <v>18</v>
      </c>
      <c r="G152" s="12">
        <v>3.5</v>
      </c>
      <c r="H152" s="12">
        <v>3.5</v>
      </c>
      <c r="I152" s="12" t="s">
        <v>17</v>
      </c>
      <c r="J152" s="12">
        <v>4.5</v>
      </c>
      <c r="K152" s="19"/>
      <c r="L152" s="19"/>
      <c r="M152" s="19"/>
      <c r="N152" s="19"/>
      <c r="O152" s="19"/>
      <c r="P152" s="19"/>
      <c r="Q152" s="19"/>
    </row>
    <row r="153" spans="1:17" x14ac:dyDescent="0.3">
      <c r="A153" s="3" t="s">
        <v>30</v>
      </c>
      <c r="B153" s="3" t="s">
        <v>181</v>
      </c>
      <c r="C153" s="21">
        <v>3</v>
      </c>
      <c r="D153" s="11">
        <v>4.5</v>
      </c>
      <c r="E153" s="12">
        <v>3.5</v>
      </c>
      <c r="F153" s="12">
        <v>3.5</v>
      </c>
      <c r="G153" s="12">
        <v>3.5</v>
      </c>
      <c r="H153" s="12" t="s">
        <v>17</v>
      </c>
      <c r="I153" s="12">
        <v>3.5</v>
      </c>
      <c r="J153" s="12">
        <v>2.5</v>
      </c>
      <c r="K153" s="19"/>
      <c r="L153" s="19"/>
      <c r="M153" s="19"/>
      <c r="N153" s="19"/>
      <c r="O153" s="19"/>
      <c r="P153" s="19"/>
      <c r="Q153" s="19"/>
    </row>
    <row r="154" spans="1:17" x14ac:dyDescent="0.3">
      <c r="A154" s="3" t="s">
        <v>30</v>
      </c>
      <c r="B154" s="3" t="s">
        <v>182</v>
      </c>
      <c r="C154" s="21">
        <v>2.6</v>
      </c>
      <c r="D154" s="11">
        <v>3.5</v>
      </c>
      <c r="E154" s="12" t="s">
        <v>18</v>
      </c>
      <c r="F154" s="12" t="s">
        <v>18</v>
      </c>
      <c r="G154" s="12">
        <v>4.5</v>
      </c>
      <c r="H154" s="12">
        <v>4.5</v>
      </c>
      <c r="I154" s="12" t="s">
        <v>17</v>
      </c>
      <c r="J154" s="12">
        <v>2.5</v>
      </c>
      <c r="K154" s="19"/>
      <c r="L154" s="19"/>
      <c r="M154" s="19"/>
      <c r="N154" s="19"/>
      <c r="O154" s="19"/>
      <c r="P154" s="19"/>
      <c r="Q154" s="19"/>
    </row>
    <row r="155" spans="1:17" x14ac:dyDescent="0.3">
      <c r="A155" s="3" t="s">
        <v>30</v>
      </c>
      <c r="B155" s="3" t="s">
        <v>183</v>
      </c>
      <c r="C155" s="21">
        <v>1.8</v>
      </c>
      <c r="D155" s="11">
        <v>3.5</v>
      </c>
      <c r="E155" s="12" t="s">
        <v>18</v>
      </c>
      <c r="F155" s="12">
        <v>2.5</v>
      </c>
      <c r="G155" s="12">
        <v>4.5</v>
      </c>
      <c r="H155" s="12">
        <v>4.5</v>
      </c>
      <c r="I155" s="12" t="s">
        <v>17</v>
      </c>
      <c r="J155" s="12">
        <v>2.5</v>
      </c>
      <c r="K155" s="19"/>
      <c r="L155" s="19"/>
      <c r="M155" s="19"/>
      <c r="N155" s="19"/>
      <c r="O155" s="19"/>
      <c r="P155" s="19"/>
      <c r="Q155" s="19"/>
    </row>
    <row r="156" spans="1:17" x14ac:dyDescent="0.3">
      <c r="A156" s="3" t="s">
        <v>30</v>
      </c>
      <c r="B156" s="3" t="s">
        <v>184</v>
      </c>
      <c r="C156" s="21">
        <v>1.8</v>
      </c>
      <c r="D156" s="11">
        <v>3.5</v>
      </c>
      <c r="E156" s="12">
        <v>3.5</v>
      </c>
      <c r="F156" s="12" t="s">
        <v>18</v>
      </c>
      <c r="G156" s="12" t="s">
        <v>17</v>
      </c>
      <c r="H156" s="12" t="s">
        <v>17</v>
      </c>
      <c r="I156" s="12" t="s">
        <v>17</v>
      </c>
      <c r="J156" s="12">
        <v>3.5</v>
      </c>
      <c r="K156" s="19"/>
      <c r="L156" s="19"/>
      <c r="M156" s="19"/>
      <c r="N156" s="19"/>
      <c r="O156" s="19"/>
      <c r="P156" s="19"/>
      <c r="Q156" s="19"/>
    </row>
    <row r="157" spans="1:17" x14ac:dyDescent="0.3">
      <c r="A157" s="3" t="s">
        <v>30</v>
      </c>
      <c r="B157" s="3" t="s">
        <v>185</v>
      </c>
      <c r="C157" s="21">
        <v>1.7</v>
      </c>
      <c r="D157" s="11">
        <v>3.5</v>
      </c>
      <c r="E157" s="12">
        <v>3.5</v>
      </c>
      <c r="F157" s="12" t="s">
        <v>18</v>
      </c>
      <c r="G157" s="12">
        <v>4.5</v>
      </c>
      <c r="H157" s="12">
        <v>4.5</v>
      </c>
      <c r="I157" s="12">
        <v>4.5</v>
      </c>
      <c r="J157" s="12" t="s">
        <v>17</v>
      </c>
      <c r="K157" s="19"/>
      <c r="L157" s="19"/>
      <c r="M157" s="19"/>
      <c r="N157" s="19"/>
      <c r="O157" s="19"/>
      <c r="P157" s="19"/>
      <c r="Q157" s="19"/>
    </row>
    <row r="158" spans="1:17" x14ac:dyDescent="0.3">
      <c r="A158" s="3" t="s">
        <v>30</v>
      </c>
      <c r="B158" s="3" t="s">
        <v>186</v>
      </c>
      <c r="C158" s="21">
        <v>3.5</v>
      </c>
      <c r="D158" s="11" t="s">
        <v>20</v>
      </c>
      <c r="E158" s="12">
        <v>3.5</v>
      </c>
      <c r="F158" s="12">
        <v>3.5</v>
      </c>
      <c r="G158" s="12">
        <v>4.5</v>
      </c>
      <c r="H158" s="12">
        <v>3.5</v>
      </c>
      <c r="I158" s="12" t="s">
        <v>18</v>
      </c>
      <c r="J158" s="12">
        <v>2.5</v>
      </c>
      <c r="K158" s="19"/>
      <c r="L158" s="19"/>
      <c r="M158" s="19"/>
      <c r="N158" s="19"/>
      <c r="O158" s="19"/>
      <c r="P158" s="19"/>
      <c r="Q158" s="19"/>
    </row>
    <row r="159" spans="1:17" x14ac:dyDescent="0.3">
      <c r="A159" s="3" t="s">
        <v>30</v>
      </c>
      <c r="B159" s="3" t="s">
        <v>187</v>
      </c>
      <c r="C159" s="21">
        <v>4.8</v>
      </c>
      <c r="D159" s="11" t="s">
        <v>20</v>
      </c>
      <c r="E159" s="12" t="s">
        <v>17</v>
      </c>
      <c r="F159" s="12" t="s">
        <v>17</v>
      </c>
      <c r="G159" s="12">
        <v>2.5</v>
      </c>
      <c r="H159" s="12">
        <v>2.5</v>
      </c>
      <c r="I159" s="12" t="s">
        <v>17</v>
      </c>
      <c r="J159" s="12" t="s">
        <v>21</v>
      </c>
      <c r="K159" s="19"/>
      <c r="L159" s="19"/>
      <c r="M159" s="19"/>
      <c r="N159" s="19"/>
      <c r="O159" s="19"/>
      <c r="P159" s="19"/>
      <c r="Q159" s="19"/>
    </row>
    <row r="160" spans="1:17" x14ac:dyDescent="0.3">
      <c r="A160" s="3" t="s">
        <v>30</v>
      </c>
      <c r="B160" s="3" t="s">
        <v>188</v>
      </c>
      <c r="C160" s="21">
        <v>2</v>
      </c>
      <c r="D160" s="11">
        <v>3.5</v>
      </c>
      <c r="E160" s="12">
        <v>3.5</v>
      </c>
      <c r="F160" s="12" t="s">
        <v>18</v>
      </c>
      <c r="G160" s="12">
        <v>4.5</v>
      </c>
      <c r="H160" s="12">
        <v>4.5</v>
      </c>
      <c r="I160" s="12" t="s">
        <v>17</v>
      </c>
      <c r="J160" s="12" t="s">
        <v>17</v>
      </c>
      <c r="K160" s="19"/>
      <c r="L160" s="19"/>
      <c r="M160" s="19"/>
      <c r="N160" s="19"/>
      <c r="O160" s="19"/>
      <c r="P160" s="19"/>
      <c r="Q160" s="19"/>
    </row>
    <row r="161" spans="1:17" x14ac:dyDescent="0.3">
      <c r="A161" s="3" t="s">
        <v>30</v>
      </c>
      <c r="B161" s="3" t="s">
        <v>189</v>
      </c>
      <c r="C161" s="21">
        <v>5</v>
      </c>
      <c r="D161" s="11" t="s">
        <v>17</v>
      </c>
      <c r="E161" s="12" t="s">
        <v>17</v>
      </c>
      <c r="F161" s="12" t="s">
        <v>17</v>
      </c>
      <c r="G161" s="12">
        <v>4.5</v>
      </c>
      <c r="H161" s="12">
        <v>4.5</v>
      </c>
      <c r="I161" s="12">
        <v>2.5</v>
      </c>
      <c r="J161" s="12">
        <v>4.5</v>
      </c>
      <c r="K161" s="19"/>
      <c r="L161" s="19"/>
      <c r="M161" s="19"/>
      <c r="N161" s="19"/>
      <c r="O161" s="19"/>
      <c r="P161" s="19"/>
      <c r="Q161" s="19"/>
    </row>
  </sheetData>
  <autoFilter ref="A1:Y161" xr:uid="{25ACC554-19B0-43F2-ABD1-883041E60297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86FA-528F-4D71-BD51-4B048A117958}">
  <dimension ref="A1:AC130"/>
  <sheetViews>
    <sheetView zoomScaleNormal="100" workbookViewId="0">
      <pane xSplit="2" topLeftCell="C1" activePane="topRight" state="frozen"/>
      <selection pane="topRight" activeCell="H22" sqref="H22"/>
    </sheetView>
  </sheetViews>
  <sheetFormatPr defaultRowHeight="11.25" x14ac:dyDescent="0.3"/>
  <cols>
    <col min="1" max="1" width="9" style="28"/>
    <col min="2" max="2" width="29" style="29" customWidth="1"/>
    <col min="3" max="16384" width="9" style="28"/>
  </cols>
  <sheetData>
    <row r="1" spans="1:29" ht="16.5" customHeight="1" x14ac:dyDescent="0.3">
      <c r="A1" s="37"/>
      <c r="B1" s="39"/>
      <c r="C1" s="40" t="s">
        <v>351</v>
      </c>
      <c r="D1" s="30" t="s">
        <v>347</v>
      </c>
      <c r="E1" s="49" t="s">
        <v>207</v>
      </c>
      <c r="F1" s="50"/>
      <c r="G1" s="30" t="s">
        <v>208</v>
      </c>
      <c r="H1" s="30" t="s">
        <v>209</v>
      </c>
      <c r="I1" s="51" t="s">
        <v>210</v>
      </c>
      <c r="J1" s="51"/>
      <c r="K1" s="48" t="s">
        <v>348</v>
      </c>
      <c r="L1" s="48"/>
      <c r="M1" s="48"/>
      <c r="N1" s="48"/>
      <c r="O1" s="48"/>
      <c r="P1" s="48"/>
      <c r="Q1" s="48"/>
      <c r="R1" s="48" t="s">
        <v>349</v>
      </c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9" s="37" customFormat="1" ht="22.5" x14ac:dyDescent="0.2">
      <c r="A2" s="33" t="s">
        <v>0</v>
      </c>
      <c r="B2" s="34" t="s">
        <v>190</v>
      </c>
      <c r="C2" s="27" t="s">
        <v>352</v>
      </c>
      <c r="D2" s="27" t="s">
        <v>350</v>
      </c>
      <c r="E2" s="27" t="s">
        <v>354</v>
      </c>
      <c r="F2" s="27" t="s">
        <v>342</v>
      </c>
      <c r="G2" s="27" t="s">
        <v>343</v>
      </c>
      <c r="H2" s="27" t="s">
        <v>344</v>
      </c>
      <c r="I2" s="27" t="s">
        <v>345</v>
      </c>
      <c r="J2" s="27" t="s">
        <v>346</v>
      </c>
      <c r="K2" s="35" t="s">
        <v>191</v>
      </c>
      <c r="L2" s="35" t="s">
        <v>192</v>
      </c>
      <c r="M2" s="35" t="s">
        <v>193</v>
      </c>
      <c r="N2" s="35" t="s">
        <v>194</v>
      </c>
      <c r="O2" s="35" t="s">
        <v>195</v>
      </c>
      <c r="P2" s="35" t="s">
        <v>196</v>
      </c>
      <c r="Q2" s="35" t="s">
        <v>197</v>
      </c>
      <c r="R2" s="36">
        <v>0</v>
      </c>
      <c r="S2" s="36">
        <v>70</v>
      </c>
      <c r="T2" s="36">
        <v>80</v>
      </c>
      <c r="U2" s="36">
        <v>90</v>
      </c>
      <c r="V2" s="36">
        <v>100</v>
      </c>
      <c r="W2" s="36">
        <v>110</v>
      </c>
      <c r="X2" s="36">
        <v>120</v>
      </c>
      <c r="Y2" s="36">
        <v>130</v>
      </c>
      <c r="Z2" s="36" t="s">
        <v>211</v>
      </c>
      <c r="AA2" s="36" t="s">
        <v>212</v>
      </c>
      <c r="AB2" s="36" t="s">
        <v>213</v>
      </c>
      <c r="AC2" s="38"/>
    </row>
    <row r="3" spans="1:29" x14ac:dyDescent="0.3">
      <c r="A3" s="37"/>
      <c r="B3" s="42" t="s">
        <v>214</v>
      </c>
      <c r="C3" s="43">
        <v>1.6</v>
      </c>
      <c r="D3" s="31">
        <v>7.5</v>
      </c>
      <c r="E3" s="32">
        <v>4.5</v>
      </c>
      <c r="F3" s="32" t="s">
        <v>17</v>
      </c>
      <c r="G3" s="32" t="s">
        <v>17</v>
      </c>
      <c r="H3" s="32" t="s">
        <v>17</v>
      </c>
      <c r="I3" s="32" t="s">
        <v>17</v>
      </c>
      <c r="J3" s="32" t="s">
        <v>17</v>
      </c>
      <c r="K3" s="37"/>
      <c r="L3" s="37"/>
      <c r="M3" s="37"/>
      <c r="N3" s="37"/>
      <c r="O3" s="37"/>
      <c r="P3" s="37"/>
      <c r="Q3" s="37"/>
      <c r="R3" s="41">
        <v>0</v>
      </c>
      <c r="S3" s="47">
        <v>1.22</v>
      </c>
      <c r="T3" s="47">
        <v>1.37</v>
      </c>
      <c r="U3" s="47">
        <v>2.23</v>
      </c>
      <c r="V3" s="47">
        <v>13</v>
      </c>
      <c r="W3" s="47">
        <f>46*0.7</f>
        <v>32.199999999999996</v>
      </c>
      <c r="X3" s="47">
        <f>76*0.7</f>
        <v>53.199999999999996</v>
      </c>
      <c r="Y3" s="47">
        <v>101</v>
      </c>
      <c r="Z3" s="47">
        <v>101</v>
      </c>
      <c r="AA3" s="47">
        <v>101</v>
      </c>
      <c r="AB3" s="46">
        <v>100</v>
      </c>
    </row>
    <row r="4" spans="1:29" x14ac:dyDescent="0.3">
      <c r="A4" s="37"/>
      <c r="B4" s="42" t="s">
        <v>215</v>
      </c>
      <c r="C4" s="43">
        <v>1.2</v>
      </c>
      <c r="D4" s="31">
        <v>7.5</v>
      </c>
      <c r="E4" s="32">
        <v>4.5</v>
      </c>
      <c r="F4" s="32" t="s">
        <v>17</v>
      </c>
      <c r="G4" s="32">
        <v>3.5</v>
      </c>
      <c r="H4" s="32">
        <v>4.5</v>
      </c>
      <c r="I4" s="32">
        <v>4.5</v>
      </c>
      <c r="J4" s="32">
        <v>4.5</v>
      </c>
      <c r="K4" s="37"/>
      <c r="L4" s="37"/>
      <c r="M4" s="37"/>
      <c r="N4" s="37"/>
      <c r="O4" s="37"/>
      <c r="P4" s="37"/>
      <c r="Q4" s="37"/>
      <c r="R4" s="41">
        <v>0</v>
      </c>
      <c r="S4" s="47">
        <v>2.5</v>
      </c>
      <c r="T4" s="47">
        <v>4</v>
      </c>
      <c r="U4" s="47">
        <v>7.3</v>
      </c>
      <c r="V4" s="47">
        <v>16</v>
      </c>
      <c r="W4" s="47">
        <f>63*0.7</f>
        <v>44.099999999999994</v>
      </c>
      <c r="X4" s="47">
        <f>95*0.7</f>
        <v>66.5</v>
      </c>
      <c r="Y4" s="47">
        <f>103*0.85</f>
        <v>87.55</v>
      </c>
      <c r="Z4" s="47">
        <v>102</v>
      </c>
      <c r="AA4" s="47">
        <v>101</v>
      </c>
      <c r="AB4" s="46">
        <v>100</v>
      </c>
    </row>
    <row r="5" spans="1:29" x14ac:dyDescent="0.3">
      <c r="A5" s="37"/>
      <c r="B5" s="42" t="s">
        <v>216</v>
      </c>
      <c r="C5" s="43">
        <v>2.2000000000000002</v>
      </c>
      <c r="D5" s="31" t="s">
        <v>353</v>
      </c>
      <c r="E5" s="32">
        <v>4.5</v>
      </c>
      <c r="F5" s="32" t="s">
        <v>17</v>
      </c>
      <c r="G5" s="32">
        <v>4.5</v>
      </c>
      <c r="H5" s="32">
        <v>4.5</v>
      </c>
      <c r="I5" s="32">
        <v>4.5</v>
      </c>
      <c r="J5" s="32">
        <v>4.5</v>
      </c>
      <c r="K5" s="37"/>
      <c r="L5" s="37"/>
      <c r="M5" s="37"/>
      <c r="N5" s="37"/>
      <c r="O5" s="37"/>
      <c r="P5" s="37"/>
      <c r="Q5" s="37"/>
      <c r="R5" s="41">
        <v>0</v>
      </c>
      <c r="S5" s="47">
        <v>2.82</v>
      </c>
      <c r="T5" s="47">
        <v>3.53</v>
      </c>
      <c r="U5" s="47">
        <v>5.44</v>
      </c>
      <c r="V5" s="47">
        <v>9.84</v>
      </c>
      <c r="W5" s="47">
        <v>19.71</v>
      </c>
      <c r="X5" s="47">
        <v>47.4</v>
      </c>
      <c r="Y5" s="47">
        <v>79.42</v>
      </c>
      <c r="Z5" s="47">
        <v>98.12</v>
      </c>
      <c r="AA5" s="47">
        <v>100.36</v>
      </c>
      <c r="AB5" s="46">
        <v>100</v>
      </c>
    </row>
    <row r="6" spans="1:29" x14ac:dyDescent="0.3">
      <c r="A6" s="37"/>
      <c r="B6" s="42" t="s">
        <v>217</v>
      </c>
      <c r="C6" s="43">
        <v>1.9</v>
      </c>
      <c r="D6" s="31" t="s">
        <v>17</v>
      </c>
      <c r="E6" s="32">
        <v>4.5</v>
      </c>
      <c r="F6" s="32">
        <v>4.5</v>
      </c>
      <c r="G6" s="32" t="s">
        <v>18</v>
      </c>
      <c r="H6" s="32">
        <v>4.5</v>
      </c>
      <c r="I6" s="32">
        <v>4.5</v>
      </c>
      <c r="J6" s="32">
        <v>4.5</v>
      </c>
      <c r="K6" s="37"/>
      <c r="L6" s="37"/>
      <c r="M6" s="37"/>
      <c r="N6" s="37"/>
      <c r="O6" s="37"/>
      <c r="P6" s="37"/>
      <c r="Q6" s="37"/>
      <c r="R6" s="41">
        <v>0</v>
      </c>
      <c r="S6" s="47">
        <v>1.55</v>
      </c>
      <c r="T6" s="47">
        <v>1.81</v>
      </c>
      <c r="U6" s="47">
        <v>2.34</v>
      </c>
      <c r="V6" s="47">
        <v>3.57</v>
      </c>
      <c r="W6" s="47">
        <v>7.22</v>
      </c>
      <c r="X6" s="47">
        <v>20.78</v>
      </c>
      <c r="Y6" s="47">
        <v>38.32</v>
      </c>
      <c r="Z6" s="47">
        <v>66.73</v>
      </c>
      <c r="AA6" s="47">
        <v>80.25</v>
      </c>
      <c r="AB6" s="46">
        <v>100</v>
      </c>
    </row>
    <row r="7" spans="1:29" x14ac:dyDescent="0.3">
      <c r="A7" s="37"/>
      <c r="B7" s="42" t="s">
        <v>218</v>
      </c>
      <c r="C7" s="43">
        <v>1.5</v>
      </c>
      <c r="D7" s="31" t="s">
        <v>17</v>
      </c>
      <c r="E7" s="32">
        <v>4.5</v>
      </c>
      <c r="F7" s="32">
        <v>4.5</v>
      </c>
      <c r="G7" s="32">
        <v>4.5</v>
      </c>
      <c r="H7" s="32">
        <v>4.5</v>
      </c>
      <c r="I7" s="32">
        <v>4.5</v>
      </c>
      <c r="J7" s="32">
        <v>4.5</v>
      </c>
      <c r="K7" s="37"/>
      <c r="L7" s="37"/>
      <c r="M7" s="37"/>
      <c r="N7" s="37"/>
      <c r="O7" s="37"/>
      <c r="P7" s="37"/>
      <c r="Q7" s="37"/>
      <c r="R7" s="41">
        <v>0</v>
      </c>
      <c r="S7" s="47">
        <v>2.08</v>
      </c>
      <c r="T7" s="47">
        <v>2.42</v>
      </c>
      <c r="U7" s="47">
        <v>4</v>
      </c>
      <c r="V7" s="47">
        <v>10</v>
      </c>
      <c r="W7" s="47">
        <f>47.17*0.7</f>
        <v>33.018999999999998</v>
      </c>
      <c r="X7" s="47">
        <f>88.94*0.7</f>
        <v>62.257999999999996</v>
      </c>
      <c r="Y7" s="47">
        <f>102*0.85</f>
        <v>86.7</v>
      </c>
      <c r="Z7" s="47">
        <v>99</v>
      </c>
      <c r="AA7" s="47">
        <v>101</v>
      </c>
      <c r="AB7" s="46">
        <v>100</v>
      </c>
    </row>
    <row r="8" spans="1:29" x14ac:dyDescent="0.3">
      <c r="A8" s="37"/>
      <c r="B8" s="42" t="s">
        <v>219</v>
      </c>
      <c r="C8" s="44">
        <v>0.9</v>
      </c>
      <c r="D8" s="31" t="s">
        <v>17</v>
      </c>
      <c r="E8" s="32">
        <v>4.5</v>
      </c>
      <c r="F8" s="32">
        <v>4.5</v>
      </c>
      <c r="G8" s="32" t="s">
        <v>17</v>
      </c>
      <c r="H8" s="32">
        <v>4.5</v>
      </c>
      <c r="I8" s="32">
        <v>4.5</v>
      </c>
      <c r="J8" s="32">
        <v>4.5</v>
      </c>
      <c r="K8" s="37"/>
      <c r="L8" s="37"/>
      <c r="M8" s="37"/>
      <c r="N8" s="37"/>
      <c r="O8" s="37"/>
      <c r="P8" s="37"/>
      <c r="Q8" s="37"/>
      <c r="R8" s="41">
        <v>0</v>
      </c>
      <c r="S8" s="47">
        <v>1.25</v>
      </c>
      <c r="T8" s="47">
        <v>1.36</v>
      </c>
      <c r="U8" s="47">
        <v>2.06</v>
      </c>
      <c r="V8" s="47">
        <v>4.57</v>
      </c>
      <c r="W8" s="47">
        <f>15*0.7</f>
        <v>10.5</v>
      </c>
      <c r="X8" s="47">
        <f>45*0.7</f>
        <v>31.499999999999996</v>
      </c>
      <c r="Y8" s="47">
        <f>96*0.85</f>
        <v>81.599999999999994</v>
      </c>
      <c r="Z8" s="47">
        <v>100</v>
      </c>
      <c r="AA8" s="47">
        <v>100</v>
      </c>
      <c r="AB8" s="46">
        <v>100</v>
      </c>
    </row>
    <row r="9" spans="1:29" x14ac:dyDescent="0.3">
      <c r="A9" s="37"/>
      <c r="B9" s="42" t="s">
        <v>220</v>
      </c>
      <c r="C9" s="43">
        <v>2.8</v>
      </c>
      <c r="D9" s="31" t="s">
        <v>17</v>
      </c>
      <c r="E9" s="32">
        <v>4.5</v>
      </c>
      <c r="F9" s="32" t="s">
        <v>17</v>
      </c>
      <c r="G9" s="32">
        <v>4.5</v>
      </c>
      <c r="H9" s="32">
        <v>4.5</v>
      </c>
      <c r="I9" s="32">
        <v>4.5</v>
      </c>
      <c r="J9" s="32">
        <v>4.5</v>
      </c>
      <c r="K9" s="37"/>
      <c r="L9" s="37"/>
      <c r="M9" s="37"/>
      <c r="N9" s="37"/>
      <c r="O9" s="37"/>
      <c r="P9" s="37"/>
      <c r="Q9" s="37"/>
      <c r="R9" s="41">
        <v>0</v>
      </c>
      <c r="S9" s="47">
        <v>1.51</v>
      </c>
      <c r="T9" s="47">
        <v>1.9</v>
      </c>
      <c r="U9" s="47">
        <v>2.95</v>
      </c>
      <c r="V9" s="47">
        <v>7</v>
      </c>
      <c r="W9" s="47">
        <f>23.7*0.7</f>
        <v>16.59</v>
      </c>
      <c r="X9" s="47">
        <f>48*0.7</f>
        <v>33.599999999999994</v>
      </c>
      <c r="Y9" s="47">
        <f>78*0.85</f>
        <v>66.3</v>
      </c>
      <c r="Z9" s="47">
        <v>95</v>
      </c>
      <c r="AA9" s="47">
        <v>99.5</v>
      </c>
      <c r="AB9" s="46">
        <v>100</v>
      </c>
    </row>
    <row r="10" spans="1:29" x14ac:dyDescent="0.3">
      <c r="A10" s="37"/>
      <c r="B10" s="42" t="s">
        <v>221</v>
      </c>
      <c r="C10" s="43">
        <v>1.2</v>
      </c>
      <c r="D10" s="31">
        <v>4.5</v>
      </c>
      <c r="E10" s="32">
        <v>4.5</v>
      </c>
      <c r="F10" s="32" t="s">
        <v>17</v>
      </c>
      <c r="G10" s="32" t="s">
        <v>17</v>
      </c>
      <c r="H10" s="32" t="s">
        <v>17</v>
      </c>
      <c r="I10" s="32" t="s">
        <v>17</v>
      </c>
      <c r="J10" s="32" t="s">
        <v>17</v>
      </c>
      <c r="K10" s="37"/>
      <c r="L10" s="37"/>
      <c r="M10" s="37"/>
      <c r="N10" s="37"/>
      <c r="O10" s="37"/>
      <c r="P10" s="37"/>
      <c r="Q10" s="37"/>
      <c r="R10" s="41">
        <v>0</v>
      </c>
      <c r="S10" s="47">
        <v>1.22</v>
      </c>
      <c r="T10" s="47">
        <v>1.29</v>
      </c>
      <c r="U10" s="47">
        <v>2.5</v>
      </c>
      <c r="V10" s="47">
        <v>6</v>
      </c>
      <c r="W10" s="47">
        <f>17*0.7</f>
        <v>11.899999999999999</v>
      </c>
      <c r="X10" s="47">
        <f>55*0.7</f>
        <v>38.5</v>
      </c>
      <c r="Y10" s="47">
        <f>99*0.85</f>
        <v>84.149999999999991</v>
      </c>
      <c r="Z10" s="47">
        <v>101</v>
      </c>
      <c r="AA10" s="47">
        <v>100</v>
      </c>
      <c r="AB10" s="46">
        <v>100</v>
      </c>
    </row>
    <row r="11" spans="1:29" x14ac:dyDescent="0.3">
      <c r="A11" s="37"/>
      <c r="B11" s="42" t="s">
        <v>222</v>
      </c>
      <c r="C11" s="43">
        <v>2.2000000000000002</v>
      </c>
      <c r="D11" s="31" t="s">
        <v>17</v>
      </c>
      <c r="E11" s="32">
        <v>4.5</v>
      </c>
      <c r="F11" s="32">
        <v>4.5</v>
      </c>
      <c r="G11" s="32">
        <v>3.5</v>
      </c>
      <c r="H11" s="32">
        <v>4.5</v>
      </c>
      <c r="I11" s="32">
        <v>4.5</v>
      </c>
      <c r="J11" s="32">
        <v>4.5</v>
      </c>
      <c r="K11" s="37"/>
      <c r="L11" s="37"/>
      <c r="M11" s="37"/>
      <c r="N11" s="37"/>
      <c r="O11" s="37"/>
      <c r="P11" s="37"/>
      <c r="Q11" s="37"/>
      <c r="R11" s="41">
        <v>0</v>
      </c>
      <c r="S11" s="47">
        <v>2.81</v>
      </c>
      <c r="T11" s="47">
        <v>3.78</v>
      </c>
      <c r="U11" s="47">
        <v>4.82</v>
      </c>
      <c r="V11" s="47">
        <v>9</v>
      </c>
      <c r="W11" s="47">
        <f>34.56*0.7</f>
        <v>24.192</v>
      </c>
      <c r="X11" s="47">
        <f>64*0.7</f>
        <v>44.8</v>
      </c>
      <c r="Y11" s="47">
        <f>90.96*0.85</f>
        <v>77.315999999999988</v>
      </c>
      <c r="Z11" s="47">
        <v>98</v>
      </c>
      <c r="AA11" s="47">
        <v>100</v>
      </c>
      <c r="AB11" s="46">
        <v>100</v>
      </c>
    </row>
    <row r="12" spans="1:29" x14ac:dyDescent="0.3">
      <c r="A12" s="37"/>
      <c r="B12" s="42" t="s">
        <v>223</v>
      </c>
      <c r="C12" s="44">
        <v>1.4</v>
      </c>
      <c r="D12" s="31" t="s">
        <v>20</v>
      </c>
      <c r="E12" s="32">
        <v>4.5</v>
      </c>
      <c r="F12" s="32" t="s">
        <v>17</v>
      </c>
      <c r="G12" s="32">
        <v>3.5</v>
      </c>
      <c r="H12" s="32">
        <v>4.5</v>
      </c>
      <c r="I12" s="32">
        <v>4.5</v>
      </c>
      <c r="J12" s="32">
        <v>4.5</v>
      </c>
      <c r="K12" s="37"/>
      <c r="L12" s="37"/>
      <c r="M12" s="37"/>
      <c r="N12" s="37"/>
      <c r="O12" s="37"/>
      <c r="P12" s="37"/>
      <c r="Q12" s="37"/>
      <c r="R12" s="41">
        <v>0</v>
      </c>
      <c r="S12" s="47">
        <v>1.41</v>
      </c>
      <c r="T12" s="47">
        <v>1.99</v>
      </c>
      <c r="U12" s="47">
        <v>5.37</v>
      </c>
      <c r="V12" s="47">
        <v>14</v>
      </c>
      <c r="W12" s="47">
        <f>53.15*0.7</f>
        <v>37.204999999999998</v>
      </c>
      <c r="X12" s="47">
        <f>93.44*0.7</f>
        <v>65.408000000000001</v>
      </c>
      <c r="Y12" s="47">
        <f>102.1*0.85</f>
        <v>86.784999999999997</v>
      </c>
      <c r="Z12" s="47">
        <v>99</v>
      </c>
      <c r="AA12" s="47">
        <v>100.46</v>
      </c>
      <c r="AB12" s="46">
        <v>100</v>
      </c>
    </row>
    <row r="13" spans="1:29" x14ac:dyDescent="0.3">
      <c r="A13" s="37"/>
      <c r="B13" s="42" t="s">
        <v>224</v>
      </c>
      <c r="C13" s="43">
        <v>1.7</v>
      </c>
      <c r="D13" s="31" t="s">
        <v>20</v>
      </c>
      <c r="E13" s="32" t="s">
        <v>17</v>
      </c>
      <c r="F13" s="32">
        <v>3.5</v>
      </c>
      <c r="G13" s="32">
        <v>3.5</v>
      </c>
      <c r="H13" s="32">
        <v>3.5</v>
      </c>
      <c r="I13" s="32">
        <v>3.5</v>
      </c>
      <c r="J13" s="32">
        <v>3.5</v>
      </c>
      <c r="K13" s="37"/>
      <c r="L13" s="37"/>
      <c r="M13" s="37"/>
      <c r="N13" s="37"/>
      <c r="O13" s="37"/>
      <c r="P13" s="37"/>
      <c r="Q13" s="37"/>
      <c r="R13" s="41">
        <v>0</v>
      </c>
      <c r="S13" s="47">
        <v>0.79</v>
      </c>
      <c r="T13" s="47">
        <v>0.99</v>
      </c>
      <c r="U13" s="47">
        <v>1.79</v>
      </c>
      <c r="V13" s="47">
        <v>6</v>
      </c>
      <c r="W13" s="47">
        <f>22.26*0.7</f>
        <v>15.582000000000001</v>
      </c>
      <c r="X13" s="47">
        <f>52*0.7</f>
        <v>36.4</v>
      </c>
      <c r="Y13" s="47">
        <f>96*0.85</f>
        <v>81.599999999999994</v>
      </c>
      <c r="Z13" s="47">
        <v>101</v>
      </c>
      <c r="AA13" s="47">
        <v>100</v>
      </c>
      <c r="AB13" s="46">
        <v>100</v>
      </c>
    </row>
    <row r="14" spans="1:29" x14ac:dyDescent="0.3">
      <c r="A14" s="37"/>
      <c r="B14" s="42" t="s">
        <v>225</v>
      </c>
      <c r="C14" s="43">
        <v>1.7</v>
      </c>
      <c r="D14" s="31" t="s">
        <v>17</v>
      </c>
      <c r="E14" s="32">
        <v>4.5</v>
      </c>
      <c r="F14" s="32">
        <v>4.5</v>
      </c>
      <c r="G14" s="32">
        <v>4.5</v>
      </c>
      <c r="H14" s="32">
        <v>4.5</v>
      </c>
      <c r="I14" s="32">
        <v>4.5</v>
      </c>
      <c r="J14" s="32">
        <v>4.5</v>
      </c>
      <c r="K14" s="37"/>
      <c r="L14" s="37"/>
      <c r="M14" s="37"/>
      <c r="N14" s="37"/>
      <c r="O14" s="37"/>
      <c r="P14" s="37"/>
      <c r="Q14" s="37"/>
      <c r="R14" s="41">
        <v>0</v>
      </c>
      <c r="S14" s="47">
        <v>0.87</v>
      </c>
      <c r="T14" s="47">
        <v>1.04</v>
      </c>
      <c r="U14" s="47">
        <v>1.29</v>
      </c>
      <c r="V14" s="47">
        <v>3.19</v>
      </c>
      <c r="W14" s="47">
        <v>11.44</v>
      </c>
      <c r="X14" s="47">
        <v>30</v>
      </c>
      <c r="Y14" s="47">
        <v>65.790000000000006</v>
      </c>
      <c r="Z14" s="47">
        <v>94.7</v>
      </c>
      <c r="AA14" s="47">
        <v>97</v>
      </c>
      <c r="AB14" s="46">
        <v>100</v>
      </c>
    </row>
    <row r="15" spans="1:29" x14ac:dyDescent="0.3">
      <c r="A15" s="37"/>
      <c r="B15" s="42" t="s">
        <v>226</v>
      </c>
      <c r="C15" s="43">
        <v>1.7</v>
      </c>
      <c r="D15" s="31" t="s">
        <v>20</v>
      </c>
      <c r="E15" s="32" t="s">
        <v>17</v>
      </c>
      <c r="F15" s="32" t="s">
        <v>17</v>
      </c>
      <c r="G15" s="32">
        <v>4.5</v>
      </c>
      <c r="H15" s="32">
        <v>4.5</v>
      </c>
      <c r="I15" s="32">
        <v>4.5</v>
      </c>
      <c r="J15" s="32">
        <v>4.5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 spans="1:29" x14ac:dyDescent="0.3">
      <c r="A16" s="37"/>
      <c r="B16" s="42" t="s">
        <v>227</v>
      </c>
      <c r="C16" s="43">
        <v>5</v>
      </c>
      <c r="D16" s="31">
        <v>6.5</v>
      </c>
      <c r="E16" s="32">
        <v>3.5</v>
      </c>
      <c r="F16" s="32" t="s">
        <v>18</v>
      </c>
      <c r="G16" s="32">
        <v>3.5</v>
      </c>
      <c r="H16" s="32">
        <v>3.5</v>
      </c>
      <c r="I16" s="32">
        <v>3.5</v>
      </c>
      <c r="J16" s="32">
        <v>3.5</v>
      </c>
      <c r="K16" s="37"/>
      <c r="L16" s="37"/>
      <c r="M16" s="37"/>
      <c r="N16" s="37"/>
      <c r="O16" s="37"/>
      <c r="P16" s="37"/>
      <c r="Q16" s="37"/>
      <c r="R16" s="41">
        <v>0</v>
      </c>
      <c r="S16" s="47">
        <v>0.45</v>
      </c>
      <c r="T16" s="47">
        <v>0.65</v>
      </c>
      <c r="U16" s="47">
        <v>1.54</v>
      </c>
      <c r="V16" s="47">
        <v>5</v>
      </c>
      <c r="W16" s="47">
        <f>23*0.7</f>
        <v>16.099999999999998</v>
      </c>
      <c r="X16" s="47">
        <f>48*0.7</f>
        <v>33.599999999999994</v>
      </c>
      <c r="Y16" s="47">
        <f>81*0.85</f>
        <v>68.849999999999994</v>
      </c>
      <c r="Z16" s="47">
        <v>97.88</v>
      </c>
      <c r="AA16" s="47">
        <v>100.33</v>
      </c>
      <c r="AB16" s="46">
        <v>100</v>
      </c>
    </row>
    <row r="17" spans="1:28" x14ac:dyDescent="0.3">
      <c r="A17" s="37"/>
      <c r="B17" s="42" t="s">
        <v>228</v>
      </c>
      <c r="C17" s="43">
        <v>4.5</v>
      </c>
      <c r="D17" s="31">
        <v>6.5</v>
      </c>
      <c r="E17" s="32">
        <v>3.5</v>
      </c>
      <c r="F17" s="32" t="s">
        <v>17</v>
      </c>
      <c r="G17" s="32">
        <v>3.5</v>
      </c>
      <c r="H17" s="32" t="s">
        <v>17</v>
      </c>
      <c r="I17" s="32" t="s">
        <v>17</v>
      </c>
      <c r="J17" s="32" t="s">
        <v>17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</row>
    <row r="18" spans="1:28" x14ac:dyDescent="0.3">
      <c r="A18" s="37"/>
      <c r="B18" s="42" t="s">
        <v>229</v>
      </c>
      <c r="C18" s="43">
        <v>4</v>
      </c>
      <c r="D18" s="31">
        <v>6.5</v>
      </c>
      <c r="E18" s="32">
        <v>3.5</v>
      </c>
      <c r="F18" s="32">
        <v>3.5</v>
      </c>
      <c r="G18" s="32">
        <v>3.5</v>
      </c>
      <c r="H18" s="32" t="s">
        <v>17</v>
      </c>
      <c r="I18" s="32" t="s">
        <v>17</v>
      </c>
      <c r="J18" s="32" t="s">
        <v>17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spans="1:28" x14ac:dyDescent="0.3">
      <c r="A19" s="37"/>
      <c r="B19" s="42" t="s">
        <v>230</v>
      </c>
      <c r="C19" s="43">
        <v>4</v>
      </c>
      <c r="D19" s="31">
        <v>6.5</v>
      </c>
      <c r="E19" s="32">
        <v>3.5</v>
      </c>
      <c r="F19" s="32">
        <v>3.5</v>
      </c>
      <c r="G19" s="32">
        <v>3.5</v>
      </c>
      <c r="H19" s="32" t="s">
        <v>17</v>
      </c>
      <c r="I19" s="32" t="s">
        <v>17</v>
      </c>
      <c r="J19" s="32" t="s">
        <v>17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spans="1:28" x14ac:dyDescent="0.3">
      <c r="A20" s="37"/>
      <c r="B20" s="42" t="s">
        <v>231</v>
      </c>
      <c r="C20" s="43">
        <v>2</v>
      </c>
      <c r="D20" s="31">
        <v>7.5</v>
      </c>
      <c r="E20" s="32" t="s">
        <v>17</v>
      </c>
      <c r="F20" s="32">
        <v>3.5</v>
      </c>
      <c r="G20" s="32">
        <v>4.5</v>
      </c>
      <c r="H20" s="32">
        <v>3.5</v>
      </c>
      <c r="I20" s="32">
        <v>3.5</v>
      </c>
      <c r="J20" s="32">
        <v>3.5</v>
      </c>
      <c r="K20" s="37"/>
      <c r="L20" s="37"/>
      <c r="M20" s="37"/>
      <c r="N20" s="37"/>
      <c r="O20" s="37"/>
      <c r="P20" s="37"/>
      <c r="Q20" s="37"/>
      <c r="R20" s="41">
        <v>0</v>
      </c>
      <c r="S20" s="47">
        <v>1.63</v>
      </c>
      <c r="T20" s="47">
        <v>1.65</v>
      </c>
      <c r="U20" s="47">
        <v>1.98</v>
      </c>
      <c r="V20" s="47">
        <v>3.91</v>
      </c>
      <c r="W20" s="47">
        <v>7.55</v>
      </c>
      <c r="X20" s="47">
        <v>21.88</v>
      </c>
      <c r="Y20" s="47">
        <v>55.63</v>
      </c>
      <c r="Z20" s="47">
        <v>78.75</v>
      </c>
      <c r="AA20" s="47">
        <v>91.05</v>
      </c>
      <c r="AB20" s="46">
        <v>100</v>
      </c>
    </row>
    <row r="21" spans="1:28" x14ac:dyDescent="0.3">
      <c r="A21" s="37"/>
      <c r="B21" s="42" t="s">
        <v>232</v>
      </c>
      <c r="C21" s="43">
        <v>2.2999999999999998</v>
      </c>
      <c r="D21" s="31" t="s">
        <v>22</v>
      </c>
      <c r="E21" s="32">
        <v>4.5</v>
      </c>
      <c r="F21" s="32" t="s">
        <v>17</v>
      </c>
      <c r="G21" s="32">
        <v>4.5</v>
      </c>
      <c r="H21" s="32" t="s">
        <v>17</v>
      </c>
      <c r="I21" s="32" t="s">
        <v>17</v>
      </c>
      <c r="J21" s="32" t="s">
        <v>17</v>
      </c>
      <c r="K21" s="37"/>
      <c r="L21" s="37"/>
      <c r="M21" s="37"/>
      <c r="N21" s="37"/>
      <c r="O21" s="37"/>
      <c r="P21" s="37"/>
      <c r="Q21" s="37"/>
      <c r="R21" s="41">
        <v>0</v>
      </c>
      <c r="S21" s="47">
        <v>1.71</v>
      </c>
      <c r="T21" s="47">
        <v>1.85</v>
      </c>
      <c r="U21" s="47">
        <v>3.42</v>
      </c>
      <c r="V21" s="47">
        <v>13</v>
      </c>
      <c r="W21" s="47">
        <f>43*0.7</f>
        <v>30.099999999999998</v>
      </c>
      <c r="X21" s="47">
        <f>84*0.7</f>
        <v>58.8</v>
      </c>
      <c r="Y21" s="47">
        <f>102*0.85</f>
        <v>86.7</v>
      </c>
      <c r="Z21" s="47">
        <v>101</v>
      </c>
      <c r="AA21" s="47">
        <v>100</v>
      </c>
      <c r="AB21" s="46">
        <v>100</v>
      </c>
    </row>
    <row r="22" spans="1:28" x14ac:dyDescent="0.3">
      <c r="A22" s="37"/>
      <c r="B22" s="42" t="s">
        <v>233</v>
      </c>
      <c r="C22" s="43">
        <v>1.8</v>
      </c>
      <c r="D22" s="31">
        <v>6.5</v>
      </c>
      <c r="E22" s="32">
        <v>4.5</v>
      </c>
      <c r="F22" s="32" t="s">
        <v>17</v>
      </c>
      <c r="G22" s="32">
        <v>3.5</v>
      </c>
      <c r="H22" s="32" t="s">
        <v>17</v>
      </c>
      <c r="I22" s="32" t="s">
        <v>17</v>
      </c>
      <c r="J22" s="32" t="s">
        <v>17</v>
      </c>
      <c r="K22" s="37"/>
      <c r="L22" s="37"/>
      <c r="M22" s="37"/>
      <c r="N22" s="37"/>
      <c r="O22" s="37"/>
      <c r="P22" s="37"/>
      <c r="Q22" s="37"/>
      <c r="R22" s="41">
        <v>0</v>
      </c>
      <c r="S22" s="47">
        <v>1.47</v>
      </c>
      <c r="T22" s="47">
        <v>1.99</v>
      </c>
      <c r="U22" s="47">
        <v>6.84</v>
      </c>
      <c r="V22" s="47">
        <v>14</v>
      </c>
      <c r="W22" s="47">
        <f>46.41*0.7</f>
        <v>32.486999999999995</v>
      </c>
      <c r="X22" s="47">
        <f>95.15*0.7</f>
        <v>66.605000000000004</v>
      </c>
      <c r="Y22" s="47">
        <f>102*0.85</f>
        <v>86.7</v>
      </c>
      <c r="Z22" s="47">
        <v>101</v>
      </c>
      <c r="AA22" s="47">
        <v>100.59</v>
      </c>
      <c r="AB22" s="46">
        <v>100</v>
      </c>
    </row>
    <row r="23" spans="1:28" x14ac:dyDescent="0.3">
      <c r="A23" s="37"/>
      <c r="B23" s="42" t="s">
        <v>234</v>
      </c>
      <c r="C23" s="43">
        <v>1.4</v>
      </c>
      <c r="D23" s="31" t="s">
        <v>17</v>
      </c>
      <c r="E23" s="32">
        <v>4.5</v>
      </c>
      <c r="F23" s="32" t="s">
        <v>17</v>
      </c>
      <c r="G23" s="32">
        <v>3.5</v>
      </c>
      <c r="H23" s="32">
        <v>4.5</v>
      </c>
      <c r="I23" s="32">
        <v>4.5</v>
      </c>
      <c r="J23" s="32">
        <v>4.5</v>
      </c>
      <c r="K23" s="37"/>
      <c r="L23" s="37"/>
      <c r="M23" s="37"/>
      <c r="N23" s="37"/>
      <c r="O23" s="37"/>
      <c r="P23" s="37"/>
      <c r="Q23" s="37"/>
      <c r="R23" s="41">
        <v>0</v>
      </c>
      <c r="S23" s="47">
        <v>1.41</v>
      </c>
      <c r="T23" s="47">
        <v>1.61</v>
      </c>
      <c r="U23" s="47">
        <v>2.73</v>
      </c>
      <c r="V23" s="47">
        <v>9</v>
      </c>
      <c r="W23" s="47">
        <f>30.66*0.7</f>
        <v>21.462</v>
      </c>
      <c r="X23" s="47">
        <f>57*0.7</f>
        <v>39.9</v>
      </c>
      <c r="Y23" s="47">
        <f>85*0.85</f>
        <v>72.25</v>
      </c>
      <c r="Z23" s="47">
        <v>98</v>
      </c>
      <c r="AA23" s="47">
        <v>100</v>
      </c>
      <c r="AB23" s="46">
        <v>100</v>
      </c>
    </row>
    <row r="24" spans="1:28" x14ac:dyDescent="0.3">
      <c r="A24" s="37"/>
      <c r="B24" s="42" t="s">
        <v>235</v>
      </c>
      <c r="C24" s="43">
        <v>1.9</v>
      </c>
      <c r="D24" s="31" t="s">
        <v>17</v>
      </c>
      <c r="E24" s="32" t="s">
        <v>17</v>
      </c>
      <c r="F24" s="32">
        <v>3.5</v>
      </c>
      <c r="G24" s="32" t="s">
        <v>18</v>
      </c>
      <c r="H24" s="32">
        <v>4.5</v>
      </c>
      <c r="I24" s="32">
        <v>4.5</v>
      </c>
      <c r="J24" s="32">
        <v>4.5</v>
      </c>
      <c r="K24" s="37"/>
      <c r="L24" s="37"/>
      <c r="M24" s="37"/>
      <c r="N24" s="37"/>
      <c r="O24" s="37"/>
      <c r="P24" s="37"/>
      <c r="Q24" s="37"/>
      <c r="R24" s="41">
        <v>0</v>
      </c>
      <c r="S24" s="47">
        <v>1.55</v>
      </c>
      <c r="T24" s="47">
        <v>1.97</v>
      </c>
      <c r="U24" s="47">
        <v>3.98</v>
      </c>
      <c r="V24" s="47">
        <v>7</v>
      </c>
      <c r="W24" s="47">
        <f>19.89*0.7</f>
        <v>13.923</v>
      </c>
      <c r="X24" s="47">
        <f>46.82*0.7</f>
        <v>32.774000000000001</v>
      </c>
      <c r="Y24" s="47">
        <f>75*0.85</f>
        <v>63.75</v>
      </c>
      <c r="Z24" s="47">
        <v>95</v>
      </c>
      <c r="AA24" s="47">
        <v>100</v>
      </c>
      <c r="AB24" s="46">
        <v>100</v>
      </c>
    </row>
    <row r="25" spans="1:28" x14ac:dyDescent="0.3">
      <c r="A25" s="37"/>
      <c r="B25" s="42" t="s">
        <v>236</v>
      </c>
      <c r="C25" s="43">
        <v>1.1000000000000001</v>
      </c>
      <c r="D25" s="31" t="s">
        <v>20</v>
      </c>
      <c r="E25" s="32">
        <v>4.5</v>
      </c>
      <c r="F25" s="32" t="s">
        <v>17</v>
      </c>
      <c r="G25" s="32" t="s">
        <v>17</v>
      </c>
      <c r="H25" s="32" t="s">
        <v>17</v>
      </c>
      <c r="I25" s="32" t="s">
        <v>17</v>
      </c>
      <c r="J25" s="32" t="s">
        <v>17</v>
      </c>
      <c r="K25" s="37"/>
      <c r="L25" s="37"/>
      <c r="M25" s="37"/>
      <c r="N25" s="37"/>
      <c r="O25" s="37"/>
      <c r="P25" s="37"/>
      <c r="Q25" s="37"/>
      <c r="R25" s="41">
        <v>0</v>
      </c>
      <c r="S25" s="47">
        <v>1.49</v>
      </c>
      <c r="T25" s="47">
        <v>1.64</v>
      </c>
      <c r="U25" s="47">
        <v>4</v>
      </c>
      <c r="V25" s="47">
        <v>9</v>
      </c>
      <c r="W25" s="47">
        <f>30*0.7</f>
        <v>21</v>
      </c>
      <c r="X25" s="47">
        <f>62*0.7</f>
        <v>43.4</v>
      </c>
      <c r="Y25" s="47">
        <f>97*0.85</f>
        <v>82.45</v>
      </c>
      <c r="Z25" s="47">
        <v>101</v>
      </c>
      <c r="AA25" s="47">
        <v>100</v>
      </c>
      <c r="AB25" s="46">
        <v>100</v>
      </c>
    </row>
    <row r="26" spans="1:28" x14ac:dyDescent="0.3">
      <c r="A26" s="37"/>
      <c r="B26" s="42" t="s">
        <v>237</v>
      </c>
      <c r="C26" s="43">
        <v>0.7</v>
      </c>
      <c r="D26" s="31" t="s">
        <v>22</v>
      </c>
      <c r="E26" s="32">
        <v>4.5</v>
      </c>
      <c r="F26" s="32" t="s">
        <v>17</v>
      </c>
      <c r="G26" s="32" t="s">
        <v>17</v>
      </c>
      <c r="H26" s="32" t="s">
        <v>17</v>
      </c>
      <c r="I26" s="32" t="s">
        <v>17</v>
      </c>
      <c r="J26" s="32" t="s">
        <v>17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 spans="1:28" x14ac:dyDescent="0.3">
      <c r="A27" s="37"/>
      <c r="B27" s="42" t="s">
        <v>238</v>
      </c>
      <c r="C27" s="45">
        <v>1</v>
      </c>
      <c r="D27" s="31" t="s">
        <v>22</v>
      </c>
      <c r="E27" s="32">
        <v>4.5</v>
      </c>
      <c r="F27" s="32" t="s">
        <v>17</v>
      </c>
      <c r="G27" s="32" t="s">
        <v>17</v>
      </c>
      <c r="H27" s="32" t="s">
        <v>17</v>
      </c>
      <c r="I27" s="32" t="s">
        <v>17</v>
      </c>
      <c r="J27" s="32" t="s">
        <v>17</v>
      </c>
      <c r="K27" s="37"/>
      <c r="L27" s="37"/>
      <c r="M27" s="37"/>
      <c r="N27" s="37"/>
      <c r="O27" s="37"/>
      <c r="P27" s="37"/>
      <c r="Q27" s="37"/>
      <c r="R27" s="41">
        <v>0</v>
      </c>
      <c r="S27" s="47">
        <v>1.54</v>
      </c>
      <c r="T27" s="47">
        <v>1.88</v>
      </c>
      <c r="U27" s="47">
        <v>4.42</v>
      </c>
      <c r="V27" s="47">
        <v>13</v>
      </c>
      <c r="W27" s="47">
        <f>54.96*0.7</f>
        <v>38.472000000000001</v>
      </c>
      <c r="X27" s="47">
        <f>90.62*0.7</f>
        <v>63.433999999999997</v>
      </c>
      <c r="Y27" s="47">
        <f>100*0.85</f>
        <v>85</v>
      </c>
      <c r="Z27" s="47">
        <v>100</v>
      </c>
      <c r="AA27" s="47">
        <v>100</v>
      </c>
      <c r="AB27" s="46">
        <v>100</v>
      </c>
    </row>
    <row r="28" spans="1:28" x14ac:dyDescent="0.3">
      <c r="A28" s="37"/>
      <c r="B28" s="42" t="s">
        <v>239</v>
      </c>
      <c r="C28" s="45">
        <v>1.2</v>
      </c>
      <c r="D28" s="31">
        <v>4.5</v>
      </c>
      <c r="E28" s="32">
        <v>4.5</v>
      </c>
      <c r="F28" s="32" t="s">
        <v>17</v>
      </c>
      <c r="G28" s="32" t="s">
        <v>17</v>
      </c>
      <c r="H28" s="32">
        <v>4.5</v>
      </c>
      <c r="I28" s="32">
        <v>4.5</v>
      </c>
      <c r="J28" s="32">
        <v>4.5</v>
      </c>
      <c r="K28" s="37"/>
      <c r="L28" s="37"/>
      <c r="M28" s="37"/>
      <c r="N28" s="37"/>
      <c r="O28" s="37"/>
      <c r="P28" s="37"/>
      <c r="Q28" s="37"/>
      <c r="R28" s="41">
        <v>0</v>
      </c>
      <c r="S28" s="47">
        <v>1.78</v>
      </c>
      <c r="T28" s="47">
        <v>2.0699999999999998</v>
      </c>
      <c r="U28" s="47">
        <v>3.71</v>
      </c>
      <c r="V28" s="47">
        <v>7.72</v>
      </c>
      <c r="W28" s="47">
        <v>21.76</v>
      </c>
      <c r="X28" s="47">
        <v>54.35</v>
      </c>
      <c r="Y28" s="47">
        <v>82.77</v>
      </c>
      <c r="Z28" s="47">
        <v>97.2</v>
      </c>
      <c r="AA28" s="47">
        <v>101.55</v>
      </c>
      <c r="AB28" s="46">
        <v>100</v>
      </c>
    </row>
    <row r="29" spans="1:28" x14ac:dyDescent="0.3">
      <c r="A29" s="37"/>
      <c r="B29" s="42" t="s">
        <v>240</v>
      </c>
      <c r="C29" s="43">
        <v>1.8</v>
      </c>
      <c r="D29" s="31" t="s">
        <v>20</v>
      </c>
      <c r="E29" s="32">
        <v>4.5</v>
      </c>
      <c r="F29" s="32" t="s">
        <v>17</v>
      </c>
      <c r="G29" s="32" t="s">
        <v>17</v>
      </c>
      <c r="H29" s="32" t="s">
        <v>17</v>
      </c>
      <c r="I29" s="32" t="s">
        <v>17</v>
      </c>
      <c r="J29" s="32" t="s">
        <v>17</v>
      </c>
      <c r="K29" s="37"/>
      <c r="L29" s="37"/>
      <c r="M29" s="37"/>
      <c r="N29" s="37"/>
      <c r="O29" s="37"/>
      <c r="P29" s="37"/>
      <c r="Q29" s="37"/>
      <c r="R29" s="41">
        <v>0</v>
      </c>
      <c r="S29" s="47">
        <v>0.86</v>
      </c>
      <c r="T29" s="47">
        <v>0.98</v>
      </c>
      <c r="U29" s="47">
        <v>2.72</v>
      </c>
      <c r="V29" s="47">
        <v>7</v>
      </c>
      <c r="W29" s="47">
        <f>32*0.7</f>
        <v>22.4</v>
      </c>
      <c r="X29" s="47">
        <f>66*0.7</f>
        <v>46.199999999999996</v>
      </c>
      <c r="Y29" s="47">
        <f>98.23*0.85</f>
        <v>83.495500000000007</v>
      </c>
      <c r="Z29" s="47">
        <v>100.23</v>
      </c>
      <c r="AA29" s="47">
        <v>100.5</v>
      </c>
      <c r="AB29" s="46">
        <v>100</v>
      </c>
    </row>
    <row r="30" spans="1:28" x14ac:dyDescent="0.3">
      <c r="A30" s="37"/>
      <c r="B30" s="42" t="s">
        <v>241</v>
      </c>
      <c r="C30" s="43">
        <v>1.5</v>
      </c>
      <c r="D30" s="31" t="s">
        <v>20</v>
      </c>
      <c r="E30" s="32" t="s">
        <v>17</v>
      </c>
      <c r="F30" s="32">
        <v>3.5</v>
      </c>
      <c r="G30" s="32">
        <v>3.5</v>
      </c>
      <c r="H30" s="32" t="s">
        <v>17</v>
      </c>
      <c r="I30" s="32" t="s">
        <v>17</v>
      </c>
      <c r="J30" s="32" t="s">
        <v>17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spans="1:28" x14ac:dyDescent="0.3">
      <c r="A31" s="37"/>
      <c r="B31" s="42" t="s">
        <v>242</v>
      </c>
      <c r="C31" s="43">
        <v>1.7</v>
      </c>
      <c r="D31" s="31" t="s">
        <v>20</v>
      </c>
      <c r="E31" s="32" t="s">
        <v>17</v>
      </c>
      <c r="F31" s="32">
        <v>3.5</v>
      </c>
      <c r="G31" s="32" t="s">
        <v>17</v>
      </c>
      <c r="H31" s="32" t="s">
        <v>17</v>
      </c>
      <c r="I31" s="32" t="s">
        <v>17</v>
      </c>
      <c r="J31" s="32" t="s">
        <v>17</v>
      </c>
      <c r="K31" s="37"/>
      <c r="L31" s="37"/>
      <c r="M31" s="37"/>
      <c r="N31" s="37"/>
      <c r="O31" s="37"/>
      <c r="P31" s="37"/>
      <c r="Q31" s="37"/>
      <c r="R31" s="41">
        <v>0</v>
      </c>
      <c r="S31" s="47">
        <v>0.87</v>
      </c>
      <c r="T31" s="47">
        <v>0.97</v>
      </c>
      <c r="U31" s="47">
        <v>1.81</v>
      </c>
      <c r="V31" s="47">
        <v>3.61</v>
      </c>
      <c r="W31" s="47">
        <v>8.85</v>
      </c>
      <c r="X31" s="47">
        <v>17.16</v>
      </c>
      <c r="Y31" s="47">
        <v>39.99</v>
      </c>
      <c r="Z31" s="47">
        <v>76.94</v>
      </c>
      <c r="AA31" s="47">
        <v>95.8</v>
      </c>
      <c r="AB31" s="46">
        <v>100</v>
      </c>
    </row>
    <row r="32" spans="1:28" x14ac:dyDescent="0.3">
      <c r="A32" s="37"/>
      <c r="B32" s="42" t="s">
        <v>243</v>
      </c>
      <c r="C32" s="45">
        <v>4</v>
      </c>
      <c r="D32" s="31">
        <v>4.5</v>
      </c>
      <c r="E32" s="32">
        <v>3.5</v>
      </c>
      <c r="F32" s="32" t="s">
        <v>18</v>
      </c>
      <c r="G32" s="32" t="s">
        <v>18</v>
      </c>
      <c r="H32" s="32" t="s">
        <v>17</v>
      </c>
      <c r="I32" s="32" t="s">
        <v>17</v>
      </c>
      <c r="J32" s="32" t="s">
        <v>17</v>
      </c>
      <c r="K32" s="37"/>
      <c r="L32" s="37"/>
      <c r="M32" s="37"/>
      <c r="N32" s="37"/>
      <c r="O32" s="37"/>
      <c r="P32" s="37"/>
      <c r="Q32" s="37"/>
      <c r="R32" s="41">
        <v>0</v>
      </c>
      <c r="S32" s="47">
        <v>0.49</v>
      </c>
      <c r="T32" s="47">
        <v>0.6</v>
      </c>
      <c r="U32" s="47">
        <v>1.06</v>
      </c>
      <c r="V32" s="47">
        <v>6</v>
      </c>
      <c r="W32" s="47">
        <f>19.7*0.7</f>
        <v>13.79</v>
      </c>
      <c r="X32" s="47">
        <f>45*0.7</f>
        <v>31.499999999999996</v>
      </c>
      <c r="Y32" s="47">
        <f>90*0.85</f>
        <v>76.5</v>
      </c>
      <c r="Z32" s="47">
        <v>100</v>
      </c>
      <c r="AA32" s="47">
        <v>100</v>
      </c>
      <c r="AB32" s="46">
        <v>100</v>
      </c>
    </row>
    <row r="33" spans="1:28" x14ac:dyDescent="0.3">
      <c r="A33" s="37"/>
      <c r="B33" s="42" t="s">
        <v>244</v>
      </c>
      <c r="C33" s="43">
        <v>4</v>
      </c>
      <c r="D33" s="31">
        <v>4.5</v>
      </c>
      <c r="E33" s="32" t="s">
        <v>17</v>
      </c>
      <c r="F33" s="32">
        <v>3.5</v>
      </c>
      <c r="G33" s="32">
        <v>3.5</v>
      </c>
      <c r="H33" s="32" t="s">
        <v>17</v>
      </c>
      <c r="I33" s="32" t="s">
        <v>17</v>
      </c>
      <c r="J33" s="32" t="s">
        <v>17</v>
      </c>
      <c r="K33" s="37"/>
      <c r="L33" s="37"/>
      <c r="M33" s="37"/>
      <c r="N33" s="37"/>
      <c r="O33" s="37"/>
      <c r="P33" s="37"/>
      <c r="Q33" s="37"/>
      <c r="R33" s="41">
        <v>0</v>
      </c>
      <c r="S33" s="47">
        <v>0.57999999999999996</v>
      </c>
      <c r="T33" s="47">
        <v>0.74</v>
      </c>
      <c r="U33" s="47">
        <v>1.66</v>
      </c>
      <c r="V33" s="47">
        <v>4.05</v>
      </c>
      <c r="W33" s="47">
        <v>10.57</v>
      </c>
      <c r="X33" s="47">
        <v>41.9</v>
      </c>
      <c r="Y33" s="47">
        <v>69.599999999999994</v>
      </c>
      <c r="Z33" s="47">
        <v>95.63</v>
      </c>
      <c r="AA33" s="47">
        <v>98.88</v>
      </c>
      <c r="AB33" s="46">
        <v>100</v>
      </c>
    </row>
    <row r="34" spans="1:28" x14ac:dyDescent="0.3">
      <c r="A34" s="37"/>
      <c r="B34" s="42" t="s">
        <v>245</v>
      </c>
      <c r="C34" s="45">
        <v>4</v>
      </c>
      <c r="D34" s="31" t="s">
        <v>22</v>
      </c>
      <c r="E34" s="32">
        <v>3.5</v>
      </c>
      <c r="F34" s="32" t="s">
        <v>18</v>
      </c>
      <c r="G34" s="32" t="s">
        <v>18</v>
      </c>
      <c r="H34" s="32" t="s">
        <v>17</v>
      </c>
      <c r="I34" s="32" t="s">
        <v>17</v>
      </c>
      <c r="J34" s="32" t="s">
        <v>17</v>
      </c>
      <c r="K34" s="37"/>
      <c r="L34" s="37"/>
      <c r="M34" s="37"/>
      <c r="N34" s="37"/>
      <c r="O34" s="37"/>
      <c r="P34" s="37"/>
      <c r="Q34" s="37"/>
      <c r="R34" s="41">
        <v>0</v>
      </c>
      <c r="S34" s="47">
        <v>0.59</v>
      </c>
      <c r="T34" s="47">
        <v>0.74</v>
      </c>
      <c r="U34" s="47">
        <v>2.0699999999999998</v>
      </c>
      <c r="V34" s="47">
        <v>4.5</v>
      </c>
      <c r="W34" s="47">
        <v>14</v>
      </c>
      <c r="X34" s="47">
        <v>33</v>
      </c>
      <c r="Y34" s="47">
        <v>78</v>
      </c>
      <c r="Z34" s="47">
        <v>93</v>
      </c>
      <c r="AA34" s="47">
        <v>98</v>
      </c>
      <c r="AB34" s="46">
        <v>100</v>
      </c>
    </row>
    <row r="35" spans="1:28" x14ac:dyDescent="0.3">
      <c r="A35" s="37"/>
      <c r="B35" s="42" t="s">
        <v>246</v>
      </c>
      <c r="C35" s="43">
        <v>2</v>
      </c>
      <c r="D35" s="31">
        <v>7.5</v>
      </c>
      <c r="E35" s="32" t="s">
        <v>17</v>
      </c>
      <c r="F35" s="32">
        <v>3.5</v>
      </c>
      <c r="G35" s="32">
        <v>4.5</v>
      </c>
      <c r="H35" s="32">
        <v>3.5</v>
      </c>
      <c r="I35" s="32">
        <v>3.5</v>
      </c>
      <c r="J35" s="32">
        <v>3.5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spans="1:28" x14ac:dyDescent="0.3">
      <c r="A36" s="37"/>
      <c r="B36" s="42" t="s">
        <v>247</v>
      </c>
      <c r="C36" s="43">
        <v>1.6</v>
      </c>
      <c r="D36" s="31">
        <v>7.5</v>
      </c>
      <c r="E36" s="32">
        <v>4.5</v>
      </c>
      <c r="F36" s="32" t="s">
        <v>17</v>
      </c>
      <c r="G36" s="32" t="s">
        <v>17</v>
      </c>
      <c r="H36" s="32" t="s">
        <v>17</v>
      </c>
      <c r="I36" s="32" t="s">
        <v>17</v>
      </c>
      <c r="J36" s="32" t="s">
        <v>17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spans="1:28" x14ac:dyDescent="0.3">
      <c r="A37" s="37"/>
      <c r="B37" s="42" t="s">
        <v>248</v>
      </c>
      <c r="C37" s="44">
        <v>3</v>
      </c>
      <c r="D37" s="31" t="s">
        <v>20</v>
      </c>
      <c r="E37" s="32" t="s">
        <v>17</v>
      </c>
      <c r="F37" s="32">
        <v>3.5</v>
      </c>
      <c r="G37" s="32">
        <v>3.5</v>
      </c>
      <c r="H37" s="32">
        <v>3.5</v>
      </c>
      <c r="I37" s="32">
        <v>3.5</v>
      </c>
      <c r="J37" s="32">
        <v>3.5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spans="1:28" x14ac:dyDescent="0.3">
      <c r="A38" s="37"/>
      <c r="B38" s="42" t="s">
        <v>249</v>
      </c>
      <c r="C38" s="43">
        <v>1</v>
      </c>
      <c r="D38" s="31">
        <v>5.5</v>
      </c>
      <c r="E38" s="32" t="s">
        <v>18</v>
      </c>
      <c r="F38" s="32">
        <v>2.5</v>
      </c>
      <c r="G38" s="32">
        <v>4.5</v>
      </c>
      <c r="H38" s="32" t="s">
        <v>17</v>
      </c>
      <c r="I38" s="32" t="s">
        <v>17</v>
      </c>
      <c r="J38" s="32" t="s">
        <v>17</v>
      </c>
      <c r="K38" s="37"/>
      <c r="L38" s="37"/>
      <c r="M38" s="37"/>
      <c r="N38" s="37"/>
      <c r="O38" s="37"/>
      <c r="P38" s="37"/>
      <c r="Q38" s="37"/>
      <c r="R38" s="41">
        <v>0</v>
      </c>
      <c r="S38" s="47">
        <v>1.99</v>
      </c>
      <c r="T38" s="47">
        <v>2.3199999999999998</v>
      </c>
      <c r="U38" s="47">
        <v>5.14</v>
      </c>
      <c r="V38" s="47">
        <v>14.71</v>
      </c>
      <c r="W38" s="47">
        <v>39.67</v>
      </c>
      <c r="X38" s="47">
        <v>70.459999999999994</v>
      </c>
      <c r="Y38" s="47">
        <v>87.18</v>
      </c>
      <c r="Z38" s="47">
        <v>101.95</v>
      </c>
      <c r="AA38" s="47">
        <v>102.27</v>
      </c>
      <c r="AB38" s="46">
        <v>100</v>
      </c>
    </row>
    <row r="39" spans="1:28" x14ac:dyDescent="0.3">
      <c r="A39" s="37"/>
      <c r="B39" s="42" t="s">
        <v>250</v>
      </c>
      <c r="C39" s="43">
        <v>1.3</v>
      </c>
      <c r="D39" s="31">
        <v>6.5</v>
      </c>
      <c r="E39" s="32" t="s">
        <v>17</v>
      </c>
      <c r="F39" s="32">
        <v>3.5</v>
      </c>
      <c r="G39" s="32" t="s">
        <v>17</v>
      </c>
      <c r="H39" s="32">
        <v>4.5</v>
      </c>
      <c r="I39" s="32">
        <v>4.5</v>
      </c>
      <c r="J39" s="32">
        <v>4.5</v>
      </c>
      <c r="K39" s="37"/>
      <c r="L39" s="37"/>
      <c r="M39" s="37"/>
      <c r="N39" s="37"/>
      <c r="O39" s="37"/>
      <c r="P39" s="37"/>
      <c r="Q39" s="37"/>
      <c r="R39" s="41">
        <v>0</v>
      </c>
      <c r="S39" s="47">
        <v>1.8</v>
      </c>
      <c r="T39" s="47">
        <v>2.2200000000000002</v>
      </c>
      <c r="U39" s="47">
        <v>5.01</v>
      </c>
      <c r="V39" s="47">
        <v>9.1</v>
      </c>
      <c r="W39" s="47">
        <v>32.97</v>
      </c>
      <c r="X39" s="47">
        <v>79.489999999999995</v>
      </c>
      <c r="Y39" s="47">
        <v>98.57</v>
      </c>
      <c r="Z39" s="47">
        <v>103.12</v>
      </c>
      <c r="AA39" s="47">
        <v>102.39</v>
      </c>
      <c r="AB39" s="46">
        <v>100</v>
      </c>
    </row>
    <row r="40" spans="1:28" x14ac:dyDescent="0.3">
      <c r="A40" s="37"/>
      <c r="B40" s="42" t="s">
        <v>251</v>
      </c>
      <c r="C40" s="43">
        <v>1.3</v>
      </c>
      <c r="D40" s="31" t="s">
        <v>22</v>
      </c>
      <c r="E40" s="32">
        <v>3.5</v>
      </c>
      <c r="F40" s="32">
        <v>3.5</v>
      </c>
      <c r="G40" s="32">
        <v>3.5</v>
      </c>
      <c r="H40" s="32">
        <v>4.5</v>
      </c>
      <c r="I40" s="32">
        <v>4.5</v>
      </c>
      <c r="J40" s="32">
        <v>4.5</v>
      </c>
      <c r="K40" s="37"/>
      <c r="L40" s="37"/>
      <c r="M40" s="37"/>
      <c r="N40" s="37"/>
      <c r="O40" s="37"/>
      <c r="P40" s="37"/>
      <c r="Q40" s="37"/>
      <c r="R40" s="41">
        <v>0</v>
      </c>
      <c r="S40" s="47">
        <v>2.4900000000000002</v>
      </c>
      <c r="T40" s="47">
        <v>3.44</v>
      </c>
      <c r="U40" s="47">
        <v>5.54</v>
      </c>
      <c r="V40" s="47">
        <v>12.07</v>
      </c>
      <c r="W40" s="47">
        <v>35.630000000000003</v>
      </c>
      <c r="X40" s="47">
        <v>86.71</v>
      </c>
      <c r="Y40" s="47">
        <v>100.25</v>
      </c>
      <c r="Z40" s="47">
        <v>104.54</v>
      </c>
      <c r="AA40" s="47">
        <v>100.66</v>
      </c>
      <c r="AB40" s="46">
        <v>100</v>
      </c>
    </row>
    <row r="41" spans="1:28" x14ac:dyDescent="0.3">
      <c r="A41" s="37"/>
      <c r="B41" s="42" t="s">
        <v>252</v>
      </c>
      <c r="C41" s="43">
        <v>1.1000000000000001</v>
      </c>
      <c r="D41" s="31" t="s">
        <v>20</v>
      </c>
      <c r="E41" s="32" t="s">
        <v>18</v>
      </c>
      <c r="F41" s="32">
        <v>2.5</v>
      </c>
      <c r="G41" s="32">
        <v>4.5</v>
      </c>
      <c r="H41" s="32">
        <v>3.5</v>
      </c>
      <c r="I41" s="32">
        <v>3.5</v>
      </c>
      <c r="J41" s="32">
        <v>3.5</v>
      </c>
      <c r="K41" s="37"/>
      <c r="L41" s="37"/>
      <c r="M41" s="37"/>
      <c r="N41" s="37"/>
      <c r="O41" s="37"/>
      <c r="P41" s="37"/>
      <c r="Q41" s="37"/>
      <c r="R41" s="41">
        <v>0</v>
      </c>
      <c r="S41" s="47">
        <v>1.86</v>
      </c>
      <c r="T41" s="47">
        <v>2.14</v>
      </c>
      <c r="U41" s="47">
        <v>4.2</v>
      </c>
      <c r="V41" s="47">
        <v>11.66</v>
      </c>
      <c r="W41" s="47">
        <v>30.61</v>
      </c>
      <c r="X41" s="47">
        <v>57.22</v>
      </c>
      <c r="Y41" s="47">
        <v>76.33</v>
      </c>
      <c r="Z41" s="47">
        <v>98.55</v>
      </c>
      <c r="AA41" s="47">
        <v>100.97</v>
      </c>
      <c r="AB41" s="46">
        <v>100</v>
      </c>
    </row>
    <row r="42" spans="1:28" x14ac:dyDescent="0.3">
      <c r="A42" s="37"/>
      <c r="B42" s="42" t="s">
        <v>253</v>
      </c>
      <c r="C42" s="45">
        <v>2.8</v>
      </c>
      <c r="D42" s="31">
        <v>7.5</v>
      </c>
      <c r="E42" s="32" t="s">
        <v>19</v>
      </c>
      <c r="F42" s="32">
        <v>1.5</v>
      </c>
      <c r="G42" s="32">
        <v>4.5</v>
      </c>
      <c r="H42" s="32">
        <v>3.5</v>
      </c>
      <c r="I42" s="32">
        <v>3.5</v>
      </c>
      <c r="J42" s="32">
        <v>3.5</v>
      </c>
      <c r="K42" s="37"/>
      <c r="L42" s="37"/>
      <c r="M42" s="37"/>
      <c r="N42" s="37"/>
      <c r="O42" s="37"/>
      <c r="P42" s="37"/>
      <c r="Q42" s="37"/>
      <c r="R42" s="41">
        <v>0</v>
      </c>
      <c r="S42" s="47">
        <v>1.77</v>
      </c>
      <c r="T42" s="47">
        <v>2.0699999999999998</v>
      </c>
      <c r="U42" s="47">
        <v>4.29</v>
      </c>
      <c r="V42" s="47">
        <v>9.64</v>
      </c>
      <c r="W42" s="47">
        <v>16.05</v>
      </c>
      <c r="X42" s="47">
        <v>36.86</v>
      </c>
      <c r="Y42" s="47">
        <v>89.02</v>
      </c>
      <c r="Z42" s="47">
        <v>101.49</v>
      </c>
      <c r="AA42" s="47">
        <v>101.86</v>
      </c>
      <c r="AB42" s="46">
        <v>100</v>
      </c>
    </row>
    <row r="43" spans="1:28" x14ac:dyDescent="0.3">
      <c r="A43" s="37"/>
      <c r="B43" s="42" t="s">
        <v>254</v>
      </c>
      <c r="C43" s="45">
        <v>0.6</v>
      </c>
      <c r="D43" s="31">
        <v>5.5</v>
      </c>
      <c r="E43" s="32" t="s">
        <v>17</v>
      </c>
      <c r="F43" s="32">
        <v>3.5</v>
      </c>
      <c r="G43" s="32" t="s">
        <v>17</v>
      </c>
      <c r="H43" s="32">
        <v>4.5</v>
      </c>
      <c r="I43" s="32">
        <v>4.5</v>
      </c>
      <c r="J43" s="32">
        <v>4.5</v>
      </c>
      <c r="K43" s="37"/>
      <c r="L43" s="37"/>
      <c r="M43" s="37"/>
      <c r="N43" s="37"/>
      <c r="O43" s="37"/>
      <c r="P43" s="37"/>
      <c r="Q43" s="37"/>
      <c r="R43" s="41">
        <v>0</v>
      </c>
      <c r="S43" s="47">
        <v>3.68</v>
      </c>
      <c r="T43" s="47">
        <v>5.26</v>
      </c>
      <c r="U43" s="47">
        <v>10.29</v>
      </c>
      <c r="V43" s="47">
        <v>15.89</v>
      </c>
      <c r="W43" s="47">
        <v>29.79</v>
      </c>
      <c r="X43" s="47">
        <v>52.48</v>
      </c>
      <c r="Y43" s="47">
        <v>75.010000000000005</v>
      </c>
      <c r="Z43" s="47">
        <v>99.08</v>
      </c>
      <c r="AA43" s="47">
        <v>99.92</v>
      </c>
      <c r="AB43" s="46">
        <v>100</v>
      </c>
    </row>
    <row r="44" spans="1:28" x14ac:dyDescent="0.3">
      <c r="A44" s="37"/>
      <c r="B44" s="42" t="s">
        <v>255</v>
      </c>
      <c r="C44" s="43">
        <v>0.6</v>
      </c>
      <c r="D44" s="31">
        <v>5.5</v>
      </c>
      <c r="E44" s="32">
        <v>3.5</v>
      </c>
      <c r="F44" s="32" t="s">
        <v>18</v>
      </c>
      <c r="G44" s="32">
        <v>4.5</v>
      </c>
      <c r="H44" s="32" t="s">
        <v>17</v>
      </c>
      <c r="I44" s="32" t="s">
        <v>17</v>
      </c>
      <c r="J44" s="32" t="s">
        <v>17</v>
      </c>
      <c r="K44" s="37"/>
      <c r="L44" s="37"/>
      <c r="M44" s="37"/>
      <c r="N44" s="37"/>
      <c r="O44" s="37"/>
      <c r="P44" s="37"/>
      <c r="Q44" s="37"/>
      <c r="R44" s="41">
        <v>0</v>
      </c>
      <c r="S44" s="47">
        <v>1.86</v>
      </c>
      <c r="T44" s="47">
        <v>2.29</v>
      </c>
      <c r="U44" s="47">
        <v>4.78</v>
      </c>
      <c r="V44" s="47">
        <v>10.119999999999999</v>
      </c>
      <c r="W44" s="47">
        <v>35.07</v>
      </c>
      <c r="X44" s="47">
        <v>82.81</v>
      </c>
      <c r="Y44" s="47">
        <v>92.22</v>
      </c>
      <c r="Z44" s="47">
        <v>102</v>
      </c>
      <c r="AA44" s="47">
        <v>102.21</v>
      </c>
      <c r="AB44" s="46">
        <v>100</v>
      </c>
    </row>
    <row r="45" spans="1:28" x14ac:dyDescent="0.3">
      <c r="A45" s="37"/>
      <c r="B45" s="42" t="s">
        <v>256</v>
      </c>
      <c r="C45" s="43">
        <v>1</v>
      </c>
      <c r="D45" s="31" t="s">
        <v>22</v>
      </c>
      <c r="E45" s="32">
        <v>3.5</v>
      </c>
      <c r="F45" s="32" t="s">
        <v>18</v>
      </c>
      <c r="G45" s="32" t="s">
        <v>17</v>
      </c>
      <c r="H45" s="32">
        <v>4.5</v>
      </c>
      <c r="I45" s="32">
        <v>4.5</v>
      </c>
      <c r="J45" s="32">
        <v>4.5</v>
      </c>
      <c r="K45" s="37"/>
      <c r="L45" s="37"/>
      <c r="M45" s="37"/>
      <c r="N45" s="37"/>
      <c r="O45" s="37"/>
      <c r="P45" s="37"/>
      <c r="Q45" s="37"/>
      <c r="R45" s="41">
        <v>0</v>
      </c>
      <c r="S45" s="47">
        <v>1.94</v>
      </c>
      <c r="T45" s="47">
        <v>2.0299999999999998</v>
      </c>
      <c r="U45" s="47">
        <v>2.34</v>
      </c>
      <c r="V45" s="47">
        <v>3.72</v>
      </c>
      <c r="W45" s="47">
        <v>8.26</v>
      </c>
      <c r="X45" s="47">
        <v>26.01</v>
      </c>
      <c r="Y45" s="47">
        <v>61.6</v>
      </c>
      <c r="Z45" s="47">
        <v>85.57</v>
      </c>
      <c r="AA45" s="47">
        <v>95.61</v>
      </c>
      <c r="AB45" s="46">
        <v>100</v>
      </c>
    </row>
    <row r="46" spans="1:28" x14ac:dyDescent="0.3">
      <c r="A46" s="37"/>
      <c r="B46" s="42" t="s">
        <v>257</v>
      </c>
      <c r="C46" s="43">
        <v>0.4</v>
      </c>
      <c r="D46" s="31">
        <v>5.5</v>
      </c>
      <c r="E46" s="32">
        <v>3.5</v>
      </c>
      <c r="F46" s="32" t="s">
        <v>18</v>
      </c>
      <c r="G46" s="32" t="s">
        <v>17</v>
      </c>
      <c r="H46" s="32">
        <v>4.5</v>
      </c>
      <c r="I46" s="32">
        <v>4.5</v>
      </c>
      <c r="J46" s="32">
        <v>4.5</v>
      </c>
      <c r="K46" s="37"/>
      <c r="L46" s="37"/>
      <c r="M46" s="37"/>
      <c r="N46" s="37"/>
      <c r="O46" s="37"/>
      <c r="P46" s="37"/>
      <c r="Q46" s="37"/>
      <c r="R46" s="41">
        <v>0</v>
      </c>
      <c r="S46" s="47">
        <v>1.69</v>
      </c>
      <c r="T46" s="47">
        <v>1.68</v>
      </c>
      <c r="U46" s="47">
        <v>1.92</v>
      </c>
      <c r="V46" s="47">
        <v>3.19</v>
      </c>
      <c r="W46" s="47">
        <v>7.61</v>
      </c>
      <c r="X46" s="47">
        <v>20.51</v>
      </c>
      <c r="Y46" s="47">
        <v>48.2</v>
      </c>
      <c r="Z46" s="47">
        <v>75.790000000000006</v>
      </c>
      <c r="AA46" s="47">
        <v>95.71</v>
      </c>
      <c r="AB46" s="46">
        <v>100</v>
      </c>
    </row>
    <row r="47" spans="1:28" x14ac:dyDescent="0.3">
      <c r="A47" s="37"/>
      <c r="B47" s="42" t="s">
        <v>258</v>
      </c>
      <c r="C47" s="44">
        <v>1.5</v>
      </c>
      <c r="D47" s="31">
        <v>5.5</v>
      </c>
      <c r="E47" s="32" t="s">
        <v>18</v>
      </c>
      <c r="F47" s="32">
        <v>2.5</v>
      </c>
      <c r="G47" s="32" t="s">
        <v>17</v>
      </c>
      <c r="H47" s="32">
        <v>3.5</v>
      </c>
      <c r="I47" s="32">
        <v>3.5</v>
      </c>
      <c r="J47" s="32">
        <v>3.5</v>
      </c>
      <c r="K47" s="37"/>
      <c r="L47" s="37"/>
      <c r="M47" s="37"/>
      <c r="N47" s="37"/>
      <c r="O47" s="37"/>
      <c r="P47" s="37"/>
      <c r="Q47" s="37"/>
      <c r="R47" s="41">
        <v>0</v>
      </c>
      <c r="S47" s="47">
        <v>1.7</v>
      </c>
      <c r="T47" s="47">
        <v>2.34</v>
      </c>
      <c r="U47" s="47">
        <v>5.94</v>
      </c>
      <c r="V47" s="47">
        <v>13.49</v>
      </c>
      <c r="W47" s="47">
        <v>37.049999999999997</v>
      </c>
      <c r="X47" s="47">
        <v>82.45</v>
      </c>
      <c r="Y47" s="47">
        <v>98.58</v>
      </c>
      <c r="Z47" s="47">
        <v>102</v>
      </c>
      <c r="AA47" s="47">
        <v>101.56</v>
      </c>
      <c r="AB47" s="46">
        <v>100</v>
      </c>
    </row>
    <row r="48" spans="1:28" x14ac:dyDescent="0.3">
      <c r="A48" s="37"/>
      <c r="B48" s="42" t="s">
        <v>259</v>
      </c>
      <c r="C48" s="45">
        <v>2.2000000000000002</v>
      </c>
      <c r="D48" s="31" t="s">
        <v>20</v>
      </c>
      <c r="E48" s="32">
        <v>4.5</v>
      </c>
      <c r="F48" s="32">
        <v>4.5</v>
      </c>
      <c r="G48" s="32">
        <v>3.5</v>
      </c>
      <c r="H48" s="32">
        <v>4.5</v>
      </c>
      <c r="I48" s="32">
        <v>4.5</v>
      </c>
      <c r="J48" s="32">
        <v>4.5</v>
      </c>
      <c r="K48" s="37"/>
      <c r="L48" s="37"/>
      <c r="M48" s="37"/>
      <c r="N48" s="37"/>
      <c r="O48" s="37"/>
      <c r="P48" s="37"/>
      <c r="Q48" s="37"/>
      <c r="R48" s="41">
        <v>0</v>
      </c>
      <c r="S48" s="47">
        <v>1.94</v>
      </c>
      <c r="T48" s="47">
        <v>2.2799999999999998</v>
      </c>
      <c r="U48" s="47">
        <v>3.56</v>
      </c>
      <c r="V48" s="47">
        <v>8.81</v>
      </c>
      <c r="W48" s="47">
        <v>24.17</v>
      </c>
      <c r="X48" s="47">
        <v>69.67</v>
      </c>
      <c r="Y48" s="47">
        <v>91.07</v>
      </c>
      <c r="Z48" s="47">
        <v>101.98</v>
      </c>
      <c r="AA48" s="47">
        <v>102.01</v>
      </c>
      <c r="AB48" s="46">
        <v>100</v>
      </c>
    </row>
    <row r="49" spans="1:28" x14ac:dyDescent="0.3">
      <c r="A49" s="37"/>
      <c r="B49" s="42" t="s">
        <v>260</v>
      </c>
      <c r="C49" s="45">
        <v>1.8</v>
      </c>
      <c r="D49" s="31" t="s">
        <v>22</v>
      </c>
      <c r="E49" s="32">
        <v>4.5</v>
      </c>
      <c r="F49" s="32">
        <v>4.5</v>
      </c>
      <c r="G49" s="32" t="s">
        <v>18</v>
      </c>
      <c r="H49" s="32">
        <v>4.5</v>
      </c>
      <c r="I49" s="32">
        <v>4.5</v>
      </c>
      <c r="J49" s="32">
        <v>4.5</v>
      </c>
      <c r="K49" s="37"/>
      <c r="L49" s="37"/>
      <c r="M49" s="37"/>
      <c r="N49" s="37"/>
      <c r="O49" s="37"/>
      <c r="P49" s="37"/>
      <c r="Q49" s="37"/>
      <c r="R49" s="41">
        <v>0</v>
      </c>
      <c r="S49" s="47">
        <v>1.58</v>
      </c>
      <c r="T49" s="47">
        <v>1.74</v>
      </c>
      <c r="U49" s="47">
        <v>2.68</v>
      </c>
      <c r="V49" s="47">
        <v>4.93</v>
      </c>
      <c r="W49" s="47">
        <v>14.68</v>
      </c>
      <c r="X49" s="47">
        <v>38.57</v>
      </c>
      <c r="Y49" s="47">
        <v>87.13</v>
      </c>
      <c r="Z49" s="47">
        <v>105.52</v>
      </c>
      <c r="AA49" s="47">
        <v>104.31</v>
      </c>
      <c r="AB49" s="46">
        <v>100</v>
      </c>
    </row>
    <row r="50" spans="1:28" x14ac:dyDescent="0.3">
      <c r="A50" s="37"/>
      <c r="B50" s="42" t="s">
        <v>261</v>
      </c>
      <c r="C50" s="45">
        <v>0.5</v>
      </c>
      <c r="D50" s="31" t="s">
        <v>20</v>
      </c>
      <c r="E50" s="32">
        <v>3.5</v>
      </c>
      <c r="F50" s="32" t="s">
        <v>18</v>
      </c>
      <c r="G50" s="32" t="s">
        <v>18</v>
      </c>
      <c r="H50" s="32">
        <v>4.5</v>
      </c>
      <c r="I50" s="32">
        <v>4.5</v>
      </c>
      <c r="J50" s="32">
        <v>4.5</v>
      </c>
      <c r="K50" s="37"/>
      <c r="L50" s="37"/>
      <c r="M50" s="37"/>
      <c r="N50" s="37"/>
      <c r="O50" s="37"/>
      <c r="P50" s="37"/>
      <c r="Q50" s="37"/>
      <c r="R50" s="41">
        <v>0</v>
      </c>
      <c r="S50" s="47">
        <v>1.76</v>
      </c>
      <c r="T50" s="47">
        <v>2.85</v>
      </c>
      <c r="U50" s="47">
        <v>5.13</v>
      </c>
      <c r="V50" s="47">
        <v>12.02</v>
      </c>
      <c r="W50" s="47">
        <v>36.89</v>
      </c>
      <c r="X50" s="47">
        <v>80.489999999999995</v>
      </c>
      <c r="Y50" s="47">
        <v>96.58</v>
      </c>
      <c r="Z50" s="47">
        <v>103.15</v>
      </c>
      <c r="AA50" s="47">
        <v>101.87</v>
      </c>
      <c r="AB50" s="46">
        <v>100</v>
      </c>
    </row>
    <row r="51" spans="1:28" x14ac:dyDescent="0.3">
      <c r="A51" s="37"/>
      <c r="B51" s="42" t="s">
        <v>262</v>
      </c>
      <c r="C51" s="45">
        <v>0.8</v>
      </c>
      <c r="D51" s="31" t="s">
        <v>22</v>
      </c>
      <c r="E51" s="32" t="s">
        <v>19</v>
      </c>
      <c r="F51" s="32">
        <v>1.5</v>
      </c>
      <c r="G51" s="32">
        <v>4.5</v>
      </c>
      <c r="H51" s="32">
        <v>4.5</v>
      </c>
      <c r="I51" s="32">
        <v>4.5</v>
      </c>
      <c r="J51" s="32">
        <v>4.5</v>
      </c>
      <c r="K51" s="37"/>
      <c r="L51" s="37"/>
      <c r="M51" s="37"/>
      <c r="N51" s="37"/>
      <c r="O51" s="37"/>
      <c r="P51" s="37"/>
      <c r="Q51" s="37"/>
      <c r="R51" s="41">
        <v>0</v>
      </c>
      <c r="S51" s="47">
        <v>2.5499999999999998</v>
      </c>
      <c r="T51" s="47">
        <v>3.01</v>
      </c>
      <c r="U51" s="47">
        <v>5.54</v>
      </c>
      <c r="V51" s="47">
        <v>12.76</v>
      </c>
      <c r="W51" s="47">
        <v>33.36</v>
      </c>
      <c r="X51" s="47">
        <v>79.25</v>
      </c>
      <c r="Y51" s="47">
        <v>102.82</v>
      </c>
      <c r="Z51" s="47">
        <v>105.19</v>
      </c>
      <c r="AA51" s="47">
        <v>102.79</v>
      </c>
      <c r="AB51" s="46">
        <v>100</v>
      </c>
    </row>
    <row r="52" spans="1:28" x14ac:dyDescent="0.3">
      <c r="A52" s="37"/>
      <c r="B52" s="42" t="s">
        <v>263</v>
      </c>
      <c r="C52" s="43">
        <v>0.7</v>
      </c>
      <c r="D52" s="31">
        <v>4.5</v>
      </c>
      <c r="E52" s="32">
        <v>3.5</v>
      </c>
      <c r="F52" s="32" t="s">
        <v>18</v>
      </c>
      <c r="G52" s="32">
        <v>4.5</v>
      </c>
      <c r="H52" s="32">
        <v>4.5</v>
      </c>
      <c r="I52" s="32">
        <v>4.5</v>
      </c>
      <c r="J52" s="32">
        <v>4.5</v>
      </c>
      <c r="K52" s="37"/>
      <c r="L52" s="37"/>
      <c r="M52" s="37"/>
      <c r="N52" s="37"/>
      <c r="O52" s="37"/>
      <c r="P52" s="37"/>
      <c r="Q52" s="37"/>
      <c r="R52" s="41">
        <v>0</v>
      </c>
      <c r="S52" s="47">
        <v>2.2599999999999998</v>
      </c>
      <c r="T52" s="47">
        <v>3.14</v>
      </c>
      <c r="U52" s="47">
        <v>6.08</v>
      </c>
      <c r="V52" s="47">
        <v>15.8</v>
      </c>
      <c r="W52" s="47">
        <v>47.15</v>
      </c>
      <c r="X52" s="47">
        <v>82.78</v>
      </c>
      <c r="Y52" s="47">
        <v>92.98</v>
      </c>
      <c r="Z52" s="47">
        <v>103.21</v>
      </c>
      <c r="AA52" s="47">
        <v>102.51</v>
      </c>
      <c r="AB52" s="46">
        <v>100</v>
      </c>
    </row>
    <row r="53" spans="1:28" x14ac:dyDescent="0.3">
      <c r="A53" s="37"/>
      <c r="B53" s="42" t="s">
        <v>264</v>
      </c>
      <c r="C53" s="43">
        <v>0.8</v>
      </c>
      <c r="D53" s="31" t="s">
        <v>20</v>
      </c>
      <c r="E53" s="32" t="s">
        <v>17</v>
      </c>
      <c r="F53" s="32" t="s">
        <v>18</v>
      </c>
      <c r="G53" s="32">
        <v>4.5</v>
      </c>
      <c r="H53" s="32">
        <v>4.5</v>
      </c>
      <c r="I53" s="32">
        <v>4.5</v>
      </c>
      <c r="J53" s="32">
        <v>4.5</v>
      </c>
      <c r="K53" s="37"/>
      <c r="L53" s="37"/>
      <c r="M53" s="37"/>
      <c r="N53" s="37"/>
      <c r="O53" s="37"/>
      <c r="P53" s="37"/>
      <c r="Q53" s="37"/>
      <c r="R53" s="41">
        <v>0</v>
      </c>
      <c r="S53" s="47">
        <v>1.73</v>
      </c>
      <c r="T53" s="47">
        <v>1.97</v>
      </c>
      <c r="U53" s="47">
        <v>3.87</v>
      </c>
      <c r="V53" s="47">
        <v>9.3000000000000007</v>
      </c>
      <c r="W53" s="47">
        <v>25.73</v>
      </c>
      <c r="X53" s="47">
        <v>71.069999999999993</v>
      </c>
      <c r="Y53" s="47">
        <v>94.05</v>
      </c>
      <c r="Z53" s="47">
        <v>99.64</v>
      </c>
      <c r="AA53" s="47">
        <v>101.01</v>
      </c>
      <c r="AB53" s="46">
        <v>100</v>
      </c>
    </row>
    <row r="54" spans="1:28" x14ac:dyDescent="0.3">
      <c r="A54" s="37"/>
      <c r="B54" s="42" t="s">
        <v>265</v>
      </c>
      <c r="C54" s="43">
        <v>0.8</v>
      </c>
      <c r="D54" s="31" t="s">
        <v>18</v>
      </c>
      <c r="E54" s="32">
        <v>4.5</v>
      </c>
      <c r="F54" s="32">
        <v>4.5</v>
      </c>
      <c r="G54" s="32" t="s">
        <v>17</v>
      </c>
      <c r="H54" s="32">
        <v>4.5</v>
      </c>
      <c r="I54" s="32">
        <v>4.5</v>
      </c>
      <c r="J54" s="32">
        <v>4.5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 spans="1:28" x14ac:dyDescent="0.3">
      <c r="A55" s="37"/>
      <c r="B55" s="42" t="s">
        <v>266</v>
      </c>
      <c r="C55" s="43">
        <v>1.4</v>
      </c>
      <c r="D55" s="31" t="s">
        <v>20</v>
      </c>
      <c r="E55" s="32">
        <v>3.5</v>
      </c>
      <c r="F55" s="32" t="s">
        <v>18</v>
      </c>
      <c r="G55" s="32">
        <v>4.5</v>
      </c>
      <c r="H55" s="32" t="s">
        <v>17</v>
      </c>
      <c r="I55" s="32" t="s">
        <v>17</v>
      </c>
      <c r="J55" s="32" t="s">
        <v>17</v>
      </c>
      <c r="K55" s="37"/>
      <c r="L55" s="37"/>
      <c r="M55" s="37"/>
      <c r="N55" s="37"/>
      <c r="O55" s="37"/>
      <c r="P55" s="37"/>
      <c r="Q55" s="37"/>
      <c r="R55" s="41">
        <v>0</v>
      </c>
      <c r="S55" s="47">
        <v>0.94</v>
      </c>
      <c r="T55" s="47">
        <v>1.04</v>
      </c>
      <c r="U55" s="47">
        <v>2.0499999999999998</v>
      </c>
      <c r="V55" s="47">
        <v>4.7699999999999996</v>
      </c>
      <c r="W55" s="47">
        <v>13.23</v>
      </c>
      <c r="X55" s="47">
        <v>54.99</v>
      </c>
      <c r="Y55" s="47">
        <v>85.13</v>
      </c>
      <c r="Z55" s="47">
        <v>98.09</v>
      </c>
      <c r="AA55" s="47">
        <v>98.01</v>
      </c>
      <c r="AB55" s="46">
        <v>100</v>
      </c>
    </row>
    <row r="56" spans="1:28" x14ac:dyDescent="0.3">
      <c r="A56" s="37"/>
      <c r="B56" s="42" t="s">
        <v>267</v>
      </c>
      <c r="C56" s="43">
        <v>5</v>
      </c>
      <c r="D56" s="31" t="s">
        <v>22</v>
      </c>
      <c r="E56" s="32" t="s">
        <v>19</v>
      </c>
      <c r="F56" s="32">
        <v>1.5</v>
      </c>
      <c r="G56" s="32">
        <v>3.5</v>
      </c>
      <c r="H56" s="32">
        <v>2.5</v>
      </c>
      <c r="I56" s="32">
        <v>2.5</v>
      </c>
      <c r="J56" s="32">
        <v>2.5</v>
      </c>
      <c r="K56" s="37"/>
      <c r="L56" s="37"/>
      <c r="M56" s="37"/>
      <c r="N56" s="37"/>
      <c r="O56" s="37"/>
      <c r="P56" s="37"/>
      <c r="Q56" s="37"/>
      <c r="R56" s="41">
        <v>0</v>
      </c>
      <c r="S56" s="47">
        <v>0.59</v>
      </c>
      <c r="T56" s="47">
        <v>0.8</v>
      </c>
      <c r="U56" s="47">
        <v>1.74</v>
      </c>
      <c r="V56" s="47">
        <v>4.49</v>
      </c>
      <c r="W56" s="47">
        <v>15.12</v>
      </c>
      <c r="X56" s="47">
        <v>35.19</v>
      </c>
      <c r="Y56" s="47">
        <v>67</v>
      </c>
      <c r="Z56" s="47">
        <v>93.66</v>
      </c>
      <c r="AA56" s="47">
        <v>96.94</v>
      </c>
      <c r="AB56" s="46">
        <v>100</v>
      </c>
    </row>
    <row r="57" spans="1:28" x14ac:dyDescent="0.3">
      <c r="A57" s="37"/>
      <c r="B57" s="42" t="s">
        <v>268</v>
      </c>
      <c r="C57" s="43">
        <v>4</v>
      </c>
      <c r="D57" s="31">
        <v>5.5</v>
      </c>
      <c r="E57" s="32" t="s">
        <v>18</v>
      </c>
      <c r="F57" s="32" t="s">
        <v>19</v>
      </c>
      <c r="G57" s="32" t="s">
        <v>18</v>
      </c>
      <c r="H57" s="32" t="s">
        <v>17</v>
      </c>
      <c r="I57" s="32" t="s">
        <v>17</v>
      </c>
      <c r="J57" s="32" t="s">
        <v>17</v>
      </c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 spans="1:28" x14ac:dyDescent="0.3">
      <c r="A58" s="37"/>
      <c r="B58" s="42" t="s">
        <v>269</v>
      </c>
      <c r="C58" s="43">
        <v>5</v>
      </c>
      <c r="D58" s="31">
        <v>6.5</v>
      </c>
      <c r="E58" s="32" t="s">
        <v>18</v>
      </c>
      <c r="F58" s="32">
        <v>2.5</v>
      </c>
      <c r="G58" s="32">
        <v>3.5</v>
      </c>
      <c r="H58" s="32" t="s">
        <v>18</v>
      </c>
      <c r="I58" s="32" t="s">
        <v>18</v>
      </c>
      <c r="J58" s="32" t="s">
        <v>18</v>
      </c>
      <c r="K58" s="37"/>
      <c r="L58" s="37"/>
      <c r="M58" s="37"/>
      <c r="N58" s="37"/>
      <c r="O58" s="37"/>
      <c r="P58" s="37"/>
      <c r="Q58" s="37"/>
      <c r="R58" s="41">
        <v>0</v>
      </c>
      <c r="S58" s="47">
        <v>0.6</v>
      </c>
      <c r="T58" s="47">
        <v>0.81</v>
      </c>
      <c r="U58" s="47">
        <v>1.81</v>
      </c>
      <c r="V58" s="47">
        <v>4.3899999999999997</v>
      </c>
      <c r="W58" s="47">
        <v>13.46</v>
      </c>
      <c r="X58" s="47">
        <v>40.24</v>
      </c>
      <c r="Y58" s="47">
        <v>63.9</v>
      </c>
      <c r="Z58" s="47">
        <v>94.19</v>
      </c>
      <c r="AA58" s="47">
        <v>100.4</v>
      </c>
      <c r="AB58" s="46">
        <v>100</v>
      </c>
    </row>
    <row r="59" spans="1:28" x14ac:dyDescent="0.3">
      <c r="A59" s="37"/>
      <c r="B59" s="42" t="s">
        <v>270</v>
      </c>
      <c r="C59" s="43">
        <v>5</v>
      </c>
      <c r="D59" s="31">
        <v>5.5</v>
      </c>
      <c r="E59" s="32" t="s">
        <v>18</v>
      </c>
      <c r="F59" s="32">
        <v>2.5</v>
      </c>
      <c r="G59" s="32">
        <v>3.5</v>
      </c>
      <c r="H59" s="32">
        <v>3.5</v>
      </c>
      <c r="I59" s="32">
        <v>3.5</v>
      </c>
      <c r="J59" s="32">
        <v>3.5</v>
      </c>
      <c r="K59" s="37"/>
      <c r="L59" s="37"/>
      <c r="M59" s="37"/>
      <c r="N59" s="37"/>
      <c r="O59" s="37"/>
      <c r="P59" s="37"/>
      <c r="Q59" s="37"/>
      <c r="R59" s="41">
        <v>0</v>
      </c>
      <c r="S59" s="47">
        <v>0.83</v>
      </c>
      <c r="T59" s="47">
        <v>1.05</v>
      </c>
      <c r="U59" s="47">
        <v>1.66</v>
      </c>
      <c r="V59" s="47">
        <v>5.46</v>
      </c>
      <c r="W59" s="47">
        <v>15.83</v>
      </c>
      <c r="X59" s="47">
        <v>44.13</v>
      </c>
      <c r="Y59" s="47">
        <v>83.31</v>
      </c>
      <c r="Z59" s="47">
        <v>98.91</v>
      </c>
      <c r="AA59" s="47">
        <v>101.21</v>
      </c>
      <c r="AB59" s="46">
        <v>100</v>
      </c>
    </row>
    <row r="60" spans="1:28" x14ac:dyDescent="0.3">
      <c r="A60" s="37"/>
      <c r="B60" s="42" t="s">
        <v>271</v>
      </c>
      <c r="C60" s="43">
        <v>4</v>
      </c>
      <c r="D60" s="31">
        <v>6.5</v>
      </c>
      <c r="E60" s="32" t="s">
        <v>18</v>
      </c>
      <c r="F60" s="32">
        <v>2.5</v>
      </c>
      <c r="G60" s="32">
        <v>3.5</v>
      </c>
      <c r="H60" s="32" t="s">
        <v>18</v>
      </c>
      <c r="I60" s="32" t="s">
        <v>18</v>
      </c>
      <c r="J60" s="32" t="s">
        <v>18</v>
      </c>
      <c r="K60" s="37"/>
      <c r="L60" s="37"/>
      <c r="M60" s="37"/>
      <c r="N60" s="37"/>
      <c r="O60" s="37"/>
      <c r="P60" s="37"/>
      <c r="Q60" s="37"/>
      <c r="R60" s="41">
        <v>0</v>
      </c>
      <c r="S60" s="47">
        <v>0.61</v>
      </c>
      <c r="T60" s="47">
        <v>0.7</v>
      </c>
      <c r="U60" s="47">
        <v>1.66</v>
      </c>
      <c r="V60" s="47">
        <v>3.66</v>
      </c>
      <c r="W60" s="47">
        <v>15.29</v>
      </c>
      <c r="X60" s="47">
        <v>33.78</v>
      </c>
      <c r="Y60" s="47">
        <v>71.510000000000005</v>
      </c>
      <c r="Z60" s="47">
        <v>92.5</v>
      </c>
      <c r="AA60" s="47">
        <v>99.28</v>
      </c>
      <c r="AB60" s="46">
        <v>100</v>
      </c>
    </row>
    <row r="61" spans="1:28" x14ac:dyDescent="0.3">
      <c r="A61" s="37"/>
      <c r="B61" s="42" t="s">
        <v>272</v>
      </c>
      <c r="C61" s="45">
        <v>8</v>
      </c>
      <c r="D61" s="31" t="s">
        <v>22</v>
      </c>
      <c r="E61" s="32">
        <v>2.5</v>
      </c>
      <c r="F61" s="32" t="s">
        <v>19</v>
      </c>
      <c r="G61" s="32">
        <v>3.5</v>
      </c>
      <c r="H61" s="32">
        <v>3.5</v>
      </c>
      <c r="I61" s="32">
        <v>3.5</v>
      </c>
      <c r="J61" s="32">
        <v>3.5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 spans="1:28" x14ac:dyDescent="0.3">
      <c r="A62" s="37"/>
      <c r="B62" s="42" t="s">
        <v>273</v>
      </c>
      <c r="C62" s="43">
        <v>8</v>
      </c>
      <c r="D62" s="31">
        <v>6.5</v>
      </c>
      <c r="E62" s="32">
        <v>2.5</v>
      </c>
      <c r="F62" s="32" t="s">
        <v>19</v>
      </c>
      <c r="G62" s="32">
        <v>3.5</v>
      </c>
      <c r="H62" s="32">
        <v>3.5</v>
      </c>
      <c r="I62" s="32">
        <v>3.5</v>
      </c>
      <c r="J62" s="32">
        <v>3.5</v>
      </c>
      <c r="K62" s="37"/>
      <c r="L62" s="37"/>
      <c r="M62" s="37"/>
      <c r="N62" s="37"/>
      <c r="O62" s="37"/>
      <c r="P62" s="37"/>
      <c r="Q62" s="37"/>
      <c r="R62" s="41">
        <v>0</v>
      </c>
      <c r="S62" s="47">
        <v>0.68</v>
      </c>
      <c r="T62" s="47">
        <v>0.93</v>
      </c>
      <c r="U62" s="47">
        <v>2.08</v>
      </c>
      <c r="V62" s="47">
        <v>4.93</v>
      </c>
      <c r="W62" s="47">
        <v>12.38</v>
      </c>
      <c r="X62" s="47">
        <v>36.130000000000003</v>
      </c>
      <c r="Y62" s="47">
        <v>73.260000000000005</v>
      </c>
      <c r="Z62" s="47">
        <v>95.29</v>
      </c>
      <c r="AA62" s="47">
        <v>98.64</v>
      </c>
      <c r="AB62" s="46">
        <v>100</v>
      </c>
    </row>
    <row r="63" spans="1:28" x14ac:dyDescent="0.3">
      <c r="A63" s="37"/>
      <c r="B63" s="42" t="s">
        <v>274</v>
      </c>
      <c r="C63" s="43">
        <v>8</v>
      </c>
      <c r="D63" s="31">
        <v>6.5</v>
      </c>
      <c r="E63" s="32">
        <v>2.5</v>
      </c>
      <c r="F63" s="32" t="s">
        <v>19</v>
      </c>
      <c r="G63" s="32">
        <v>3.5</v>
      </c>
      <c r="H63" s="32">
        <v>3.5</v>
      </c>
      <c r="I63" s="32">
        <v>3.5</v>
      </c>
      <c r="J63" s="32">
        <v>3.5</v>
      </c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</row>
    <row r="64" spans="1:28" x14ac:dyDescent="0.3">
      <c r="A64" s="37"/>
      <c r="B64" s="42" t="s">
        <v>275</v>
      </c>
      <c r="C64" s="43">
        <v>8</v>
      </c>
      <c r="D64" s="31">
        <v>6.5</v>
      </c>
      <c r="E64" s="32">
        <v>2.5</v>
      </c>
      <c r="F64" s="32" t="s">
        <v>19</v>
      </c>
      <c r="G64" s="32">
        <v>3.5</v>
      </c>
      <c r="H64" s="32" t="s">
        <v>18</v>
      </c>
      <c r="I64" s="32" t="s">
        <v>18</v>
      </c>
      <c r="J64" s="32" t="s">
        <v>18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</row>
    <row r="65" spans="1:28" x14ac:dyDescent="0.3">
      <c r="A65" s="37"/>
      <c r="B65" s="42" t="s">
        <v>276</v>
      </c>
      <c r="C65" s="43">
        <v>10</v>
      </c>
      <c r="D65" s="31" t="s">
        <v>17</v>
      </c>
      <c r="E65" s="32">
        <v>2.5</v>
      </c>
      <c r="F65" s="32" t="s">
        <v>19</v>
      </c>
      <c r="G65" s="32" t="s">
        <v>18</v>
      </c>
      <c r="H65" s="32" t="s">
        <v>17</v>
      </c>
      <c r="I65" s="32" t="s">
        <v>17</v>
      </c>
      <c r="J65" s="32" t="s">
        <v>17</v>
      </c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 spans="1:28" x14ac:dyDescent="0.3">
      <c r="A66" s="37"/>
      <c r="B66" s="42" t="s">
        <v>277</v>
      </c>
      <c r="C66" s="43">
        <v>10</v>
      </c>
      <c r="D66" s="31" t="s">
        <v>20</v>
      </c>
      <c r="E66" s="32">
        <v>2.5</v>
      </c>
      <c r="F66" s="32" t="s">
        <v>19</v>
      </c>
      <c r="G66" s="32" t="s">
        <v>18</v>
      </c>
      <c r="H66" s="32" t="s">
        <v>17</v>
      </c>
      <c r="I66" s="32" t="s">
        <v>17</v>
      </c>
      <c r="J66" s="32" t="s">
        <v>17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 spans="1:28" x14ac:dyDescent="0.3">
      <c r="A67" s="37"/>
      <c r="B67" s="42" t="s">
        <v>278</v>
      </c>
      <c r="C67" s="43">
        <v>8</v>
      </c>
      <c r="D67" s="31" t="s">
        <v>22</v>
      </c>
      <c r="E67" s="32">
        <v>2.5</v>
      </c>
      <c r="F67" s="32" t="s">
        <v>19</v>
      </c>
      <c r="G67" s="32" t="s">
        <v>19</v>
      </c>
      <c r="H67" s="32" t="s">
        <v>17</v>
      </c>
      <c r="I67" s="32" t="s">
        <v>17</v>
      </c>
      <c r="J67" s="32" t="s">
        <v>17</v>
      </c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 spans="1:28" x14ac:dyDescent="0.3">
      <c r="A68" s="37"/>
      <c r="B68" s="42" t="s">
        <v>279</v>
      </c>
      <c r="C68" s="43">
        <v>8</v>
      </c>
      <c r="D68" s="31">
        <v>5.5</v>
      </c>
      <c r="E68" s="32" t="s">
        <v>19</v>
      </c>
      <c r="F68" s="32">
        <v>1.5</v>
      </c>
      <c r="G68" s="32">
        <v>2.5</v>
      </c>
      <c r="H68" s="32" t="s">
        <v>17</v>
      </c>
      <c r="I68" s="32" t="s">
        <v>17</v>
      </c>
      <c r="J68" s="32" t="s">
        <v>17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 spans="1:28" x14ac:dyDescent="0.3">
      <c r="A69" s="37"/>
      <c r="B69" s="42" t="s">
        <v>280</v>
      </c>
      <c r="C69" s="43">
        <v>8</v>
      </c>
      <c r="D69" s="31" t="s">
        <v>22</v>
      </c>
      <c r="E69" s="32">
        <v>2.5</v>
      </c>
      <c r="F69" s="32" t="s">
        <v>19</v>
      </c>
      <c r="G69" s="32" t="s">
        <v>19</v>
      </c>
      <c r="H69" s="32" t="s">
        <v>17</v>
      </c>
      <c r="I69" s="32" t="s">
        <v>17</v>
      </c>
      <c r="J69" s="32" t="s">
        <v>17</v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 spans="1:28" x14ac:dyDescent="0.3">
      <c r="A70" s="37"/>
      <c r="B70" s="42" t="s">
        <v>281</v>
      </c>
      <c r="C70" s="43">
        <v>8</v>
      </c>
      <c r="D70" s="31">
        <v>5.5</v>
      </c>
      <c r="E70" s="32">
        <v>2.5</v>
      </c>
      <c r="F70" s="32" t="s">
        <v>19</v>
      </c>
      <c r="G70" s="32">
        <v>2.5</v>
      </c>
      <c r="H70" s="32" t="s">
        <v>17</v>
      </c>
      <c r="I70" s="32" t="s">
        <v>17</v>
      </c>
      <c r="J70" s="32" t="s">
        <v>17</v>
      </c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</row>
    <row r="71" spans="1:28" x14ac:dyDescent="0.3">
      <c r="A71" s="37"/>
      <c r="B71" s="42" t="s">
        <v>282</v>
      </c>
      <c r="C71" s="43">
        <v>8</v>
      </c>
      <c r="D71" s="31" t="s">
        <v>22</v>
      </c>
      <c r="E71" s="32">
        <v>2.5</v>
      </c>
      <c r="F71" s="32" t="s">
        <v>19</v>
      </c>
      <c r="G71" s="32" t="s">
        <v>19</v>
      </c>
      <c r="H71" s="32" t="s">
        <v>17</v>
      </c>
      <c r="I71" s="32" t="s">
        <v>17</v>
      </c>
      <c r="J71" s="32" t="s">
        <v>17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 spans="1:28" x14ac:dyDescent="0.3">
      <c r="A72" s="37"/>
      <c r="B72" s="42" t="s">
        <v>283</v>
      </c>
      <c r="C72" s="43">
        <v>8</v>
      </c>
      <c r="D72" s="31" t="s">
        <v>22</v>
      </c>
      <c r="E72" s="32">
        <v>2.5</v>
      </c>
      <c r="F72" s="32" t="s">
        <v>19</v>
      </c>
      <c r="G72" s="32" t="s">
        <v>19</v>
      </c>
      <c r="H72" s="32">
        <v>3.5</v>
      </c>
      <c r="I72" s="32">
        <v>3.5</v>
      </c>
      <c r="J72" s="32">
        <v>3.5</v>
      </c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</row>
    <row r="73" spans="1:28" x14ac:dyDescent="0.3">
      <c r="A73" s="37"/>
      <c r="B73" s="42" t="s">
        <v>284</v>
      </c>
      <c r="C73" s="43">
        <v>1</v>
      </c>
      <c r="D73" s="31">
        <v>7.5</v>
      </c>
      <c r="E73" s="32">
        <v>3.5</v>
      </c>
      <c r="F73" s="32" t="s">
        <v>18</v>
      </c>
      <c r="G73" s="32">
        <v>2.5</v>
      </c>
      <c r="H73" s="32" t="s">
        <v>17</v>
      </c>
      <c r="I73" s="32" t="s">
        <v>17</v>
      </c>
      <c r="J73" s="32" t="s">
        <v>17</v>
      </c>
      <c r="K73" s="37"/>
      <c r="L73" s="37"/>
      <c r="M73" s="37"/>
      <c r="N73" s="37"/>
      <c r="O73" s="37"/>
      <c r="P73" s="37"/>
      <c r="Q73" s="37"/>
      <c r="R73" s="41">
        <v>0</v>
      </c>
      <c r="S73" s="47">
        <v>2.08</v>
      </c>
      <c r="T73" s="47">
        <v>2.2400000000000002</v>
      </c>
      <c r="U73" s="47">
        <v>4.22</v>
      </c>
      <c r="V73" s="47">
        <v>6.87</v>
      </c>
      <c r="W73" s="47">
        <v>22.24</v>
      </c>
      <c r="X73" s="47">
        <v>60.16</v>
      </c>
      <c r="Y73" s="47">
        <v>90.04</v>
      </c>
      <c r="Z73" s="47">
        <v>104.63</v>
      </c>
      <c r="AA73" s="47">
        <v>103.67</v>
      </c>
      <c r="AB73" s="46">
        <v>100</v>
      </c>
    </row>
    <row r="74" spans="1:28" x14ac:dyDescent="0.3">
      <c r="A74" s="37"/>
      <c r="B74" s="42" t="s">
        <v>285</v>
      </c>
      <c r="C74" s="43">
        <v>1</v>
      </c>
      <c r="D74" s="31">
        <v>7.5</v>
      </c>
      <c r="E74" s="32">
        <v>3.5</v>
      </c>
      <c r="F74" s="32" t="s">
        <v>18</v>
      </c>
      <c r="G74" s="32">
        <v>2.5</v>
      </c>
      <c r="H74" s="32">
        <v>4.5</v>
      </c>
      <c r="I74" s="32">
        <v>4.5</v>
      </c>
      <c r="J74" s="32">
        <v>4.5</v>
      </c>
      <c r="K74" s="37"/>
      <c r="L74" s="37"/>
      <c r="M74" s="37"/>
      <c r="N74" s="37"/>
      <c r="O74" s="37"/>
      <c r="P74" s="37"/>
      <c r="Q74" s="37"/>
      <c r="R74" s="41">
        <v>0</v>
      </c>
      <c r="S74" s="47">
        <v>1.74</v>
      </c>
      <c r="T74" s="47">
        <v>2</v>
      </c>
      <c r="U74" s="47">
        <v>3.78</v>
      </c>
      <c r="V74" s="47">
        <v>9.8699999999999992</v>
      </c>
      <c r="W74" s="47">
        <v>25.23</v>
      </c>
      <c r="X74" s="47">
        <v>57.97</v>
      </c>
      <c r="Y74" s="47">
        <v>104.24</v>
      </c>
      <c r="Z74" s="47">
        <v>106.45</v>
      </c>
      <c r="AA74" s="47">
        <v>104.55</v>
      </c>
      <c r="AB74" s="46">
        <v>100</v>
      </c>
    </row>
    <row r="75" spans="1:28" x14ac:dyDescent="0.3">
      <c r="A75" s="37"/>
      <c r="B75" s="42" t="s">
        <v>286</v>
      </c>
      <c r="C75" s="43">
        <v>1</v>
      </c>
      <c r="D75" s="31" t="s">
        <v>22</v>
      </c>
      <c r="E75" s="32">
        <v>3.5</v>
      </c>
      <c r="F75" s="32" t="s">
        <v>18</v>
      </c>
      <c r="G75" s="32">
        <v>3.5</v>
      </c>
      <c r="H75" s="32">
        <v>4.5</v>
      </c>
      <c r="I75" s="32">
        <v>4.5</v>
      </c>
      <c r="J75" s="32">
        <v>4.5</v>
      </c>
      <c r="K75" s="37"/>
      <c r="L75" s="37"/>
      <c r="M75" s="37"/>
      <c r="N75" s="37"/>
      <c r="O75" s="37"/>
      <c r="P75" s="37"/>
      <c r="Q75" s="37"/>
      <c r="R75" s="41">
        <v>0</v>
      </c>
      <c r="S75" s="47">
        <v>2.0299999999999998</v>
      </c>
      <c r="T75" s="47">
        <v>2.48</v>
      </c>
      <c r="U75" s="47">
        <v>5.67</v>
      </c>
      <c r="V75" s="47">
        <v>13.88</v>
      </c>
      <c r="W75" s="47">
        <v>41.98</v>
      </c>
      <c r="X75" s="47">
        <v>84.63</v>
      </c>
      <c r="Y75" s="47">
        <v>100.84</v>
      </c>
      <c r="Z75" s="47">
        <v>106.9</v>
      </c>
      <c r="AA75" s="47">
        <v>103.49</v>
      </c>
      <c r="AB75" s="46">
        <v>100</v>
      </c>
    </row>
    <row r="76" spans="1:28" x14ac:dyDescent="0.3">
      <c r="A76" s="37"/>
      <c r="B76" s="42" t="s">
        <v>287</v>
      </c>
      <c r="C76" s="45">
        <v>1</v>
      </c>
      <c r="D76" s="31" t="s">
        <v>353</v>
      </c>
      <c r="E76" s="32">
        <v>2.5</v>
      </c>
      <c r="F76" s="32" t="s">
        <v>19</v>
      </c>
      <c r="G76" s="32" t="s">
        <v>17</v>
      </c>
      <c r="H76" s="32">
        <v>4.5</v>
      </c>
      <c r="I76" s="32">
        <v>4.5</v>
      </c>
      <c r="J76" s="32">
        <v>4.5</v>
      </c>
      <c r="K76" s="37"/>
      <c r="L76" s="37"/>
      <c r="M76" s="37"/>
      <c r="N76" s="37"/>
      <c r="O76" s="37"/>
      <c r="P76" s="37"/>
      <c r="Q76" s="37"/>
      <c r="R76" s="41">
        <v>0</v>
      </c>
      <c r="S76" s="47">
        <v>2.2799999999999998</v>
      </c>
      <c r="T76" s="47">
        <v>2.54</v>
      </c>
      <c r="U76" s="47">
        <v>5.22</v>
      </c>
      <c r="V76" s="47">
        <v>11.69</v>
      </c>
      <c r="W76" s="47">
        <v>28.06</v>
      </c>
      <c r="X76" s="47">
        <v>64.260000000000005</v>
      </c>
      <c r="Y76" s="47">
        <v>105.45</v>
      </c>
      <c r="Z76" s="47">
        <v>107.9</v>
      </c>
      <c r="AA76" s="47">
        <v>105.94</v>
      </c>
      <c r="AB76" s="46">
        <v>100</v>
      </c>
    </row>
    <row r="77" spans="1:28" x14ac:dyDescent="0.3">
      <c r="A77" s="37"/>
      <c r="B77" s="42" t="s">
        <v>288</v>
      </c>
      <c r="C77" s="45">
        <v>0.8</v>
      </c>
      <c r="D77" s="31">
        <v>4.5</v>
      </c>
      <c r="E77" s="32" t="s">
        <v>18</v>
      </c>
      <c r="F77" s="32">
        <v>2.5</v>
      </c>
      <c r="G77" s="32">
        <v>3.5</v>
      </c>
      <c r="H77" s="32" t="s">
        <v>17</v>
      </c>
      <c r="I77" s="32" t="s">
        <v>17</v>
      </c>
      <c r="J77" s="32" t="s">
        <v>17</v>
      </c>
      <c r="K77" s="37"/>
      <c r="L77" s="37"/>
      <c r="M77" s="37"/>
      <c r="N77" s="37"/>
      <c r="O77" s="37"/>
      <c r="P77" s="37"/>
      <c r="Q77" s="37"/>
      <c r="R77" s="41">
        <v>0</v>
      </c>
      <c r="S77" s="47">
        <v>3.57</v>
      </c>
      <c r="T77" s="47">
        <v>4.41</v>
      </c>
      <c r="U77" s="47">
        <v>7.65</v>
      </c>
      <c r="V77" s="47">
        <v>13.53</v>
      </c>
      <c r="W77" s="47">
        <v>36.43</v>
      </c>
      <c r="X77" s="47">
        <v>66.31</v>
      </c>
      <c r="Y77" s="47">
        <v>93.13</v>
      </c>
      <c r="Z77" s="47">
        <v>99.34</v>
      </c>
      <c r="AA77" s="47">
        <v>101.59</v>
      </c>
      <c r="AB77" s="46">
        <v>100</v>
      </c>
    </row>
    <row r="78" spans="1:28" x14ac:dyDescent="0.3">
      <c r="A78" s="37"/>
      <c r="B78" s="42" t="s">
        <v>289</v>
      </c>
      <c r="C78" s="43">
        <v>0.7</v>
      </c>
      <c r="D78" s="31" t="s">
        <v>20</v>
      </c>
      <c r="E78" s="32" t="s">
        <v>18</v>
      </c>
      <c r="F78" s="32">
        <v>2.5</v>
      </c>
      <c r="G78" s="32">
        <v>3.5</v>
      </c>
      <c r="H78" s="32" t="s">
        <v>17</v>
      </c>
      <c r="I78" s="32" t="s">
        <v>17</v>
      </c>
      <c r="J78" s="32" t="s">
        <v>17</v>
      </c>
      <c r="K78" s="37"/>
      <c r="L78" s="37"/>
      <c r="M78" s="37"/>
      <c r="N78" s="37"/>
      <c r="O78" s="37"/>
      <c r="P78" s="37"/>
      <c r="Q78" s="37"/>
      <c r="R78" s="41">
        <v>0</v>
      </c>
      <c r="S78" s="47">
        <v>2.86</v>
      </c>
      <c r="T78" s="47">
        <v>3.39</v>
      </c>
      <c r="U78" s="47">
        <v>4.91</v>
      </c>
      <c r="V78" s="47">
        <v>11.71</v>
      </c>
      <c r="W78" s="47">
        <v>25.29</v>
      </c>
      <c r="X78" s="47">
        <v>51.9</v>
      </c>
      <c r="Y78" s="47">
        <v>90.06</v>
      </c>
      <c r="Z78" s="47">
        <v>100.6</v>
      </c>
      <c r="AA78" s="47">
        <v>102.54</v>
      </c>
      <c r="AB78" s="46">
        <v>100</v>
      </c>
    </row>
    <row r="79" spans="1:28" x14ac:dyDescent="0.3">
      <c r="A79" s="37"/>
      <c r="B79" s="42" t="s">
        <v>290</v>
      </c>
      <c r="C79" s="43">
        <v>0.5</v>
      </c>
      <c r="D79" s="31" t="s">
        <v>20</v>
      </c>
      <c r="E79" s="32" t="s">
        <v>18</v>
      </c>
      <c r="F79" s="32" t="s">
        <v>19</v>
      </c>
      <c r="G79" s="32">
        <v>3.5</v>
      </c>
      <c r="H79" s="32" t="s">
        <v>17</v>
      </c>
      <c r="I79" s="32" t="s">
        <v>17</v>
      </c>
      <c r="J79" s="32" t="s">
        <v>17</v>
      </c>
      <c r="K79" s="37"/>
      <c r="L79" s="37"/>
      <c r="M79" s="37"/>
      <c r="N79" s="37"/>
      <c r="O79" s="37"/>
      <c r="P79" s="37"/>
      <c r="Q79" s="37"/>
      <c r="R79" s="41">
        <v>0</v>
      </c>
      <c r="S79" s="47">
        <v>1.69</v>
      </c>
      <c r="T79" s="47">
        <v>2.06</v>
      </c>
      <c r="U79" s="47">
        <v>4.46</v>
      </c>
      <c r="V79" s="47">
        <v>8.82</v>
      </c>
      <c r="W79" s="47">
        <v>26.55</v>
      </c>
      <c r="X79" s="47">
        <v>68.36</v>
      </c>
      <c r="Y79" s="47">
        <v>89.95</v>
      </c>
      <c r="Z79" s="47">
        <v>102.76</v>
      </c>
      <c r="AA79" s="47">
        <v>101.6</v>
      </c>
      <c r="AB79" s="46">
        <v>100</v>
      </c>
    </row>
    <row r="80" spans="1:28" x14ac:dyDescent="0.3">
      <c r="A80" s="37"/>
      <c r="B80" s="42" t="s">
        <v>291</v>
      </c>
      <c r="C80" s="43">
        <v>0.6</v>
      </c>
      <c r="D80" s="31" t="s">
        <v>22</v>
      </c>
      <c r="E80" s="32">
        <v>3.5</v>
      </c>
      <c r="F80" s="32" t="s">
        <v>18</v>
      </c>
      <c r="G80" s="32" t="s">
        <v>18</v>
      </c>
      <c r="H80" s="32">
        <v>4.5</v>
      </c>
      <c r="I80" s="32">
        <v>4.5</v>
      </c>
      <c r="J80" s="32">
        <v>4.5</v>
      </c>
      <c r="K80" s="37"/>
      <c r="L80" s="37"/>
      <c r="M80" s="37"/>
      <c r="N80" s="37"/>
      <c r="O80" s="37"/>
      <c r="P80" s="37"/>
      <c r="Q80" s="37"/>
      <c r="R80" s="41">
        <v>0</v>
      </c>
      <c r="S80" s="47">
        <v>1.83</v>
      </c>
      <c r="T80" s="47">
        <v>2.4300000000000002</v>
      </c>
      <c r="U80" s="47">
        <v>6.31</v>
      </c>
      <c r="V80" s="47">
        <v>19.100000000000001</v>
      </c>
      <c r="W80" s="47">
        <v>51.62</v>
      </c>
      <c r="X80" s="47">
        <v>88.7</v>
      </c>
      <c r="Y80" s="47">
        <v>104.78</v>
      </c>
      <c r="Z80" s="47">
        <v>106.58</v>
      </c>
      <c r="AA80" s="47">
        <v>105.31</v>
      </c>
      <c r="AB80" s="46">
        <v>100</v>
      </c>
    </row>
    <row r="81" spans="1:28" x14ac:dyDescent="0.3">
      <c r="A81" s="37"/>
      <c r="B81" s="42" t="s">
        <v>292</v>
      </c>
      <c r="C81" s="45">
        <v>0.9</v>
      </c>
      <c r="D81" s="31" t="s">
        <v>22</v>
      </c>
      <c r="E81" s="32" t="s">
        <v>17</v>
      </c>
      <c r="F81" s="32">
        <v>3.5</v>
      </c>
      <c r="G81" s="32">
        <v>3.5</v>
      </c>
      <c r="H81" s="32">
        <v>4.5</v>
      </c>
      <c r="I81" s="32">
        <v>4.5</v>
      </c>
      <c r="J81" s="32">
        <v>4.5</v>
      </c>
      <c r="K81" s="37"/>
      <c r="L81" s="37"/>
      <c r="M81" s="37"/>
      <c r="N81" s="37"/>
      <c r="O81" s="37"/>
      <c r="P81" s="37"/>
      <c r="Q81" s="37"/>
      <c r="R81" s="41">
        <v>0</v>
      </c>
      <c r="S81" s="47">
        <v>1.79</v>
      </c>
      <c r="T81" s="47">
        <v>2.1</v>
      </c>
      <c r="U81" s="47">
        <v>4.33</v>
      </c>
      <c r="V81" s="47">
        <v>9.32</v>
      </c>
      <c r="W81" s="47">
        <v>21.84</v>
      </c>
      <c r="X81" s="47">
        <v>69.069999999999993</v>
      </c>
      <c r="Y81" s="47">
        <v>96.65</v>
      </c>
      <c r="Z81" s="47">
        <v>103.87</v>
      </c>
      <c r="AA81" s="47">
        <v>103.05</v>
      </c>
      <c r="AB81" s="46">
        <v>100</v>
      </c>
    </row>
    <row r="82" spans="1:28" x14ac:dyDescent="0.3">
      <c r="A82" s="37"/>
      <c r="B82" s="42" t="s">
        <v>293</v>
      </c>
      <c r="C82" s="45">
        <v>1.5</v>
      </c>
      <c r="D82" s="31" t="s">
        <v>22</v>
      </c>
      <c r="E82" s="32">
        <v>3.5</v>
      </c>
      <c r="F82" s="32" t="s">
        <v>18</v>
      </c>
      <c r="G82" s="32">
        <v>2.5</v>
      </c>
      <c r="H82" s="32">
        <v>4.5</v>
      </c>
      <c r="I82" s="32">
        <v>4.5</v>
      </c>
      <c r="J82" s="32">
        <v>4.5</v>
      </c>
      <c r="K82" s="37"/>
      <c r="L82" s="37"/>
      <c r="M82" s="37"/>
      <c r="N82" s="37"/>
      <c r="O82" s="37"/>
      <c r="P82" s="37"/>
      <c r="Q82" s="37"/>
      <c r="R82" s="41">
        <v>0</v>
      </c>
      <c r="S82" s="47">
        <v>2.15</v>
      </c>
      <c r="T82" s="47">
        <v>2.61</v>
      </c>
      <c r="U82" s="47">
        <v>4.13</v>
      </c>
      <c r="V82" s="47">
        <v>8.49</v>
      </c>
      <c r="W82" s="47">
        <v>14.75</v>
      </c>
      <c r="X82" s="47">
        <v>35.729999999999997</v>
      </c>
      <c r="Y82" s="47">
        <v>78.48</v>
      </c>
      <c r="Z82" s="47">
        <v>99.8</v>
      </c>
      <c r="AA82" s="47">
        <v>101.84</v>
      </c>
      <c r="AB82" s="46">
        <v>100</v>
      </c>
    </row>
    <row r="83" spans="1:28" x14ac:dyDescent="0.3">
      <c r="A83" s="37"/>
      <c r="B83" s="42" t="s">
        <v>294</v>
      </c>
      <c r="C83" s="45">
        <v>0.5</v>
      </c>
      <c r="D83" s="31" t="s">
        <v>17</v>
      </c>
      <c r="E83" s="32">
        <v>3.5</v>
      </c>
      <c r="F83" s="32" t="s">
        <v>18</v>
      </c>
      <c r="G83" s="32">
        <v>4.5</v>
      </c>
      <c r="H83" s="32">
        <v>4.5</v>
      </c>
      <c r="I83" s="32">
        <v>4.5</v>
      </c>
      <c r="J83" s="32">
        <v>4.5</v>
      </c>
      <c r="K83" s="37"/>
      <c r="L83" s="37"/>
      <c r="M83" s="37"/>
      <c r="N83" s="37"/>
      <c r="O83" s="37"/>
      <c r="P83" s="37"/>
      <c r="Q83" s="37"/>
      <c r="R83" s="41">
        <v>0</v>
      </c>
      <c r="S83" s="47">
        <v>2.42</v>
      </c>
      <c r="T83" s="47">
        <v>3.43</v>
      </c>
      <c r="U83" s="47">
        <v>10.039999999999999</v>
      </c>
      <c r="V83" s="47">
        <v>21.95</v>
      </c>
      <c r="W83" s="47">
        <v>57.28</v>
      </c>
      <c r="X83" s="47">
        <v>88.11</v>
      </c>
      <c r="Y83" s="47">
        <v>101.19</v>
      </c>
      <c r="Z83" s="47">
        <v>105.27</v>
      </c>
      <c r="AA83" s="47">
        <v>103.13</v>
      </c>
      <c r="AB83" s="46">
        <v>100</v>
      </c>
    </row>
    <row r="84" spans="1:28" x14ac:dyDescent="0.3">
      <c r="A84" s="37"/>
      <c r="B84" s="42" t="s">
        <v>295</v>
      </c>
      <c r="C84" s="45">
        <v>0.8</v>
      </c>
      <c r="D84" s="31" t="s">
        <v>20</v>
      </c>
      <c r="E84" s="32" t="s">
        <v>17</v>
      </c>
      <c r="F84" s="32" t="s">
        <v>18</v>
      </c>
      <c r="G84" s="32">
        <v>3.5</v>
      </c>
      <c r="H84" s="32">
        <v>4.5</v>
      </c>
      <c r="I84" s="32">
        <v>4.5</v>
      </c>
      <c r="J84" s="32">
        <v>4.5</v>
      </c>
      <c r="K84" s="37"/>
      <c r="L84" s="37"/>
      <c r="M84" s="37"/>
      <c r="N84" s="37"/>
      <c r="O84" s="37"/>
      <c r="P84" s="37"/>
      <c r="Q84" s="37"/>
      <c r="R84" s="41">
        <v>0</v>
      </c>
      <c r="S84" s="47">
        <v>1.57</v>
      </c>
      <c r="T84" s="47">
        <v>1.92</v>
      </c>
      <c r="U84" s="47">
        <v>3.8</v>
      </c>
      <c r="V84" s="47">
        <v>8.85</v>
      </c>
      <c r="W84" s="47">
        <v>19.43</v>
      </c>
      <c r="X84" s="47">
        <v>40.229999999999997</v>
      </c>
      <c r="Y84" s="47">
        <v>86.69</v>
      </c>
      <c r="Z84" s="47">
        <v>101.11</v>
      </c>
      <c r="AA84" s="47">
        <v>101.49</v>
      </c>
      <c r="AB84" s="46">
        <v>100</v>
      </c>
    </row>
    <row r="85" spans="1:28" x14ac:dyDescent="0.3">
      <c r="A85" s="37"/>
      <c r="B85" s="42" t="s">
        <v>296</v>
      </c>
      <c r="C85" s="45">
        <v>0.8</v>
      </c>
      <c r="D85" s="31" t="s">
        <v>17</v>
      </c>
      <c r="E85" s="32" t="s">
        <v>17</v>
      </c>
      <c r="F85" s="32" t="s">
        <v>18</v>
      </c>
      <c r="G85" s="32">
        <v>3.5</v>
      </c>
      <c r="H85" s="32">
        <v>4.5</v>
      </c>
      <c r="I85" s="32">
        <v>4.5</v>
      </c>
      <c r="J85" s="32">
        <v>4.5</v>
      </c>
      <c r="K85" s="37"/>
      <c r="L85" s="37"/>
      <c r="M85" s="37"/>
      <c r="N85" s="37"/>
      <c r="O85" s="37"/>
      <c r="P85" s="37"/>
      <c r="Q85" s="37"/>
      <c r="R85" s="41">
        <v>0</v>
      </c>
      <c r="S85" s="47">
        <v>2.33</v>
      </c>
      <c r="T85" s="47">
        <v>3.88</v>
      </c>
      <c r="U85" s="47">
        <v>13.47</v>
      </c>
      <c r="V85" s="47">
        <v>27.26</v>
      </c>
      <c r="W85" s="47">
        <v>59.34</v>
      </c>
      <c r="X85" s="47">
        <v>92.04</v>
      </c>
      <c r="Y85" s="47">
        <v>101.7</v>
      </c>
      <c r="Z85" s="47">
        <v>104.66</v>
      </c>
      <c r="AA85" s="47">
        <v>104.24</v>
      </c>
      <c r="AB85" s="46">
        <v>100</v>
      </c>
    </row>
    <row r="86" spans="1:28" x14ac:dyDescent="0.3">
      <c r="A86" s="37"/>
      <c r="B86" s="42" t="s">
        <v>297</v>
      </c>
      <c r="C86" s="45">
        <v>1.5</v>
      </c>
      <c r="D86" s="31">
        <v>3.5</v>
      </c>
      <c r="E86" s="32">
        <v>3.5</v>
      </c>
      <c r="F86" s="32" t="s">
        <v>18</v>
      </c>
      <c r="G86" s="32" t="s">
        <v>17</v>
      </c>
      <c r="H86" s="32">
        <v>4.5</v>
      </c>
      <c r="I86" s="32">
        <v>4.5</v>
      </c>
      <c r="J86" s="32">
        <v>4.5</v>
      </c>
      <c r="K86" s="37"/>
      <c r="L86" s="37"/>
      <c r="M86" s="37"/>
      <c r="N86" s="37"/>
      <c r="O86" s="37"/>
      <c r="P86" s="37"/>
      <c r="Q86" s="37"/>
      <c r="R86" s="41">
        <v>0</v>
      </c>
      <c r="S86" s="47">
        <v>1.88</v>
      </c>
      <c r="T86" s="47">
        <v>2.5299999999999998</v>
      </c>
      <c r="U86" s="47">
        <v>5.35</v>
      </c>
      <c r="V86" s="47">
        <v>13.62</v>
      </c>
      <c r="W86" s="47">
        <v>26.8</v>
      </c>
      <c r="X86" s="47">
        <v>73.78</v>
      </c>
      <c r="Y86" s="47">
        <v>104.06</v>
      </c>
      <c r="Z86" s="47">
        <v>105.38</v>
      </c>
      <c r="AA86" s="47">
        <v>104.28</v>
      </c>
      <c r="AB86" s="46">
        <v>100</v>
      </c>
    </row>
    <row r="87" spans="1:28" x14ac:dyDescent="0.3">
      <c r="A87" s="37"/>
      <c r="B87" s="42" t="s">
        <v>298</v>
      </c>
      <c r="C87" s="45">
        <v>1.1000000000000001</v>
      </c>
      <c r="D87" s="31">
        <v>4.5</v>
      </c>
      <c r="E87" s="32">
        <v>3.5</v>
      </c>
      <c r="F87" s="32" t="s">
        <v>18</v>
      </c>
      <c r="G87" s="32">
        <v>2.5</v>
      </c>
      <c r="H87" s="32">
        <v>4.5</v>
      </c>
      <c r="I87" s="32">
        <v>4.5</v>
      </c>
      <c r="J87" s="32">
        <v>4.5</v>
      </c>
      <c r="K87" s="37"/>
      <c r="L87" s="37"/>
      <c r="M87" s="37"/>
      <c r="N87" s="37"/>
      <c r="O87" s="37"/>
      <c r="P87" s="37"/>
      <c r="Q87" s="37"/>
      <c r="R87" s="41">
        <v>0</v>
      </c>
      <c r="S87" s="47">
        <v>1.44</v>
      </c>
      <c r="T87" s="47">
        <v>1.94</v>
      </c>
      <c r="U87" s="47">
        <v>3.47</v>
      </c>
      <c r="V87" s="47">
        <v>9.11</v>
      </c>
      <c r="W87" s="47">
        <v>17.73</v>
      </c>
      <c r="X87" s="47">
        <v>49.71</v>
      </c>
      <c r="Y87" s="47">
        <v>82.12</v>
      </c>
      <c r="Z87" s="47">
        <v>97.26</v>
      </c>
      <c r="AA87" s="47">
        <v>100.49</v>
      </c>
      <c r="AB87" s="46">
        <v>100</v>
      </c>
    </row>
    <row r="88" spans="1:28" x14ac:dyDescent="0.3">
      <c r="A88" s="37"/>
      <c r="B88" s="42" t="s">
        <v>299</v>
      </c>
      <c r="C88" s="45">
        <v>4</v>
      </c>
      <c r="D88" s="31">
        <v>5.5</v>
      </c>
      <c r="E88" s="32">
        <v>2.5</v>
      </c>
      <c r="F88" s="32" t="s">
        <v>19</v>
      </c>
      <c r="G88" s="32" t="s">
        <v>19</v>
      </c>
      <c r="H88" s="32" t="s">
        <v>17</v>
      </c>
      <c r="I88" s="32" t="s">
        <v>17</v>
      </c>
      <c r="J88" s="32" t="s">
        <v>17</v>
      </c>
      <c r="K88" s="37"/>
      <c r="L88" s="37"/>
      <c r="M88" s="37"/>
      <c r="N88" s="37"/>
      <c r="O88" s="37"/>
      <c r="P88" s="37"/>
      <c r="Q88" s="37"/>
      <c r="R88" s="41">
        <v>0</v>
      </c>
      <c r="S88" s="47">
        <v>1.2</v>
      </c>
      <c r="T88" s="47">
        <v>1.63</v>
      </c>
      <c r="U88" s="47">
        <v>2.82</v>
      </c>
      <c r="V88" s="47">
        <v>6.1</v>
      </c>
      <c r="W88" s="47">
        <v>17.809999999999999</v>
      </c>
      <c r="X88" s="47">
        <v>43.43</v>
      </c>
      <c r="Y88" s="47">
        <v>75.33</v>
      </c>
      <c r="Z88" s="47">
        <v>96.12</v>
      </c>
      <c r="AA88" s="47">
        <v>100.94</v>
      </c>
      <c r="AB88" s="46">
        <v>100</v>
      </c>
    </row>
    <row r="89" spans="1:28" x14ac:dyDescent="0.3">
      <c r="A89" s="37"/>
      <c r="B89" s="42" t="s">
        <v>300</v>
      </c>
      <c r="C89" s="43">
        <v>4</v>
      </c>
      <c r="D89" s="31" t="s">
        <v>20</v>
      </c>
      <c r="E89" s="32">
        <v>2.5</v>
      </c>
      <c r="F89" s="32" t="s">
        <v>19</v>
      </c>
      <c r="G89" s="32" t="s">
        <v>19</v>
      </c>
      <c r="H89" s="32" t="s">
        <v>17</v>
      </c>
      <c r="I89" s="32" t="s">
        <v>17</v>
      </c>
      <c r="J89" s="32" t="s">
        <v>17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 spans="1:28" x14ac:dyDescent="0.3">
      <c r="A90" s="37"/>
      <c r="B90" s="42" t="s">
        <v>301</v>
      </c>
      <c r="C90" s="43">
        <v>4</v>
      </c>
      <c r="D90" s="31" t="s">
        <v>22</v>
      </c>
      <c r="E90" s="32">
        <v>2.5</v>
      </c>
      <c r="F90" s="32" t="s">
        <v>19</v>
      </c>
      <c r="G90" s="32">
        <v>2.5</v>
      </c>
      <c r="H90" s="32">
        <v>4.5</v>
      </c>
      <c r="I90" s="32">
        <v>4.5</v>
      </c>
      <c r="J90" s="32">
        <v>4.5</v>
      </c>
      <c r="K90" s="37"/>
      <c r="L90" s="37"/>
      <c r="M90" s="37"/>
      <c r="N90" s="37"/>
      <c r="O90" s="37"/>
      <c r="P90" s="37"/>
      <c r="Q90" s="37"/>
      <c r="R90" s="41">
        <v>0</v>
      </c>
      <c r="S90" s="47">
        <v>1.07</v>
      </c>
      <c r="T90" s="47">
        <v>1.33</v>
      </c>
      <c r="U90" s="47">
        <v>1.85</v>
      </c>
      <c r="V90" s="47">
        <v>5.01</v>
      </c>
      <c r="W90" s="47">
        <v>12.05</v>
      </c>
      <c r="X90" s="47">
        <v>31.8</v>
      </c>
      <c r="Y90" s="47">
        <v>70.400000000000006</v>
      </c>
      <c r="Z90" s="47">
        <v>95.21</v>
      </c>
      <c r="AA90" s="47">
        <v>99.38</v>
      </c>
      <c r="AB90" s="46">
        <v>100</v>
      </c>
    </row>
    <row r="91" spans="1:28" x14ac:dyDescent="0.3">
      <c r="A91" s="37"/>
      <c r="B91" s="42" t="s">
        <v>302</v>
      </c>
      <c r="C91" s="45">
        <v>1.9</v>
      </c>
      <c r="D91" s="31">
        <v>7.5</v>
      </c>
      <c r="E91" s="32" t="s">
        <v>17</v>
      </c>
      <c r="F91" s="32">
        <v>3.5</v>
      </c>
      <c r="G91" s="32">
        <v>2.5</v>
      </c>
      <c r="H91" s="32">
        <v>4.5</v>
      </c>
      <c r="I91" s="32">
        <v>4.5</v>
      </c>
      <c r="J91" s="32">
        <v>4.5</v>
      </c>
      <c r="K91" s="37"/>
      <c r="L91" s="37"/>
      <c r="M91" s="37"/>
      <c r="N91" s="37"/>
      <c r="O91" s="37"/>
      <c r="P91" s="37"/>
      <c r="Q91" s="37"/>
      <c r="R91" s="41">
        <v>0</v>
      </c>
      <c r="S91" s="47">
        <v>2.12</v>
      </c>
      <c r="T91" s="47">
        <v>2.48</v>
      </c>
      <c r="U91" s="47">
        <v>5.8</v>
      </c>
      <c r="V91" s="47">
        <v>12.67</v>
      </c>
      <c r="W91" s="47">
        <v>40.85</v>
      </c>
      <c r="X91" s="47">
        <v>86.86</v>
      </c>
      <c r="Y91" s="47">
        <v>100.35</v>
      </c>
      <c r="Z91" s="47">
        <v>105.08</v>
      </c>
      <c r="AA91" s="47">
        <v>105.24</v>
      </c>
      <c r="AB91" s="46">
        <v>100</v>
      </c>
    </row>
    <row r="92" spans="1:28" x14ac:dyDescent="0.3">
      <c r="A92" s="37"/>
      <c r="B92" s="42" t="s">
        <v>303</v>
      </c>
      <c r="C92" s="43">
        <v>1.3</v>
      </c>
      <c r="D92" s="31" t="s">
        <v>20</v>
      </c>
      <c r="E92" s="32" t="s">
        <v>18</v>
      </c>
      <c r="F92" s="32">
        <v>2.5</v>
      </c>
      <c r="G92" s="32">
        <v>3.5</v>
      </c>
      <c r="H92" s="32">
        <v>4.5</v>
      </c>
      <c r="I92" s="32">
        <v>4.5</v>
      </c>
      <c r="J92" s="32">
        <v>4.5</v>
      </c>
      <c r="K92" s="37"/>
      <c r="L92" s="37"/>
      <c r="M92" s="37"/>
      <c r="N92" s="37"/>
      <c r="O92" s="37"/>
      <c r="P92" s="37"/>
      <c r="Q92" s="37"/>
      <c r="R92" s="41">
        <v>0</v>
      </c>
      <c r="S92" s="47">
        <v>1.93</v>
      </c>
      <c r="T92" s="47">
        <v>2.99</v>
      </c>
      <c r="U92" s="47">
        <v>9.08</v>
      </c>
      <c r="V92" s="47">
        <v>22.63</v>
      </c>
      <c r="W92" s="47">
        <v>47.22</v>
      </c>
      <c r="X92" s="47">
        <v>81.08</v>
      </c>
      <c r="Y92" s="47">
        <v>93.81</v>
      </c>
      <c r="Z92" s="47">
        <v>99.1</v>
      </c>
      <c r="AA92" s="47">
        <v>99.24</v>
      </c>
      <c r="AB92" s="46">
        <v>100</v>
      </c>
    </row>
    <row r="93" spans="1:28" x14ac:dyDescent="0.3">
      <c r="A93" s="37"/>
      <c r="B93" s="42" t="s">
        <v>304</v>
      </c>
      <c r="C93" s="43">
        <v>0.9</v>
      </c>
      <c r="D93" s="31" t="s">
        <v>20</v>
      </c>
      <c r="E93" s="32" t="s">
        <v>18</v>
      </c>
      <c r="F93" s="32">
        <v>2.5</v>
      </c>
      <c r="G93" s="32">
        <v>3.5</v>
      </c>
      <c r="H93" s="32">
        <v>4.5</v>
      </c>
      <c r="I93" s="32">
        <v>4.5</v>
      </c>
      <c r="J93" s="32">
        <v>4.5</v>
      </c>
      <c r="K93" s="37"/>
      <c r="L93" s="37"/>
      <c r="M93" s="37"/>
      <c r="N93" s="37"/>
      <c r="O93" s="37"/>
      <c r="P93" s="37"/>
      <c r="Q93" s="37"/>
      <c r="R93" s="41">
        <v>0</v>
      </c>
      <c r="S93" s="47">
        <v>1.93</v>
      </c>
      <c r="T93" s="47">
        <v>2.59</v>
      </c>
      <c r="U93" s="47">
        <v>8.34</v>
      </c>
      <c r="V93" s="47">
        <v>16.71</v>
      </c>
      <c r="W93" s="47">
        <v>44.38</v>
      </c>
      <c r="X93" s="47">
        <v>79.03</v>
      </c>
      <c r="Y93" s="47">
        <v>96.6</v>
      </c>
      <c r="Z93" s="47">
        <v>102.05</v>
      </c>
      <c r="AA93" s="47">
        <v>102.2</v>
      </c>
      <c r="AB93" s="46">
        <v>100</v>
      </c>
    </row>
    <row r="94" spans="1:28" x14ac:dyDescent="0.3">
      <c r="A94" s="37"/>
      <c r="B94" s="42" t="s">
        <v>305</v>
      </c>
      <c r="C94" s="43">
        <v>3.5</v>
      </c>
      <c r="D94" s="31" t="s">
        <v>22</v>
      </c>
      <c r="E94" s="32" t="s">
        <v>19</v>
      </c>
      <c r="F94" s="32">
        <v>1.5</v>
      </c>
      <c r="G94" s="32">
        <v>2.5</v>
      </c>
      <c r="H94" s="32" t="s">
        <v>17</v>
      </c>
      <c r="I94" s="32" t="s">
        <v>17</v>
      </c>
      <c r="J94" s="32" t="s">
        <v>17</v>
      </c>
      <c r="K94" s="37"/>
      <c r="L94" s="37"/>
      <c r="M94" s="37"/>
      <c r="N94" s="37"/>
      <c r="O94" s="37"/>
      <c r="P94" s="37"/>
      <c r="Q94" s="37"/>
      <c r="R94" s="41">
        <v>0</v>
      </c>
      <c r="S94" s="47">
        <v>1.08</v>
      </c>
      <c r="T94" s="47">
        <v>1.53</v>
      </c>
      <c r="U94" s="47">
        <v>2.56</v>
      </c>
      <c r="V94" s="47">
        <v>6.11</v>
      </c>
      <c r="W94" s="47">
        <v>17.489999999999998</v>
      </c>
      <c r="X94" s="47">
        <v>43.26</v>
      </c>
      <c r="Y94" s="47">
        <v>78.06</v>
      </c>
      <c r="Z94" s="47">
        <v>94.76</v>
      </c>
      <c r="AA94" s="47">
        <v>98.99</v>
      </c>
      <c r="AB94" s="46">
        <v>100</v>
      </c>
    </row>
    <row r="95" spans="1:28" x14ac:dyDescent="0.3">
      <c r="A95" s="37"/>
      <c r="B95" s="42" t="s">
        <v>306</v>
      </c>
      <c r="C95" s="43">
        <v>0.5</v>
      </c>
      <c r="D95" s="31" t="s">
        <v>17</v>
      </c>
      <c r="E95" s="32">
        <v>2.5</v>
      </c>
      <c r="F95" s="32" t="s">
        <v>19</v>
      </c>
      <c r="G95" s="32" t="s">
        <v>18</v>
      </c>
      <c r="H95" s="32" t="s">
        <v>17</v>
      </c>
      <c r="I95" s="32" t="s">
        <v>17</v>
      </c>
      <c r="J95" s="32" t="s">
        <v>17</v>
      </c>
      <c r="K95" s="37"/>
      <c r="L95" s="37"/>
      <c r="M95" s="37"/>
      <c r="N95" s="37"/>
      <c r="O95" s="37"/>
      <c r="P95" s="37"/>
      <c r="Q95" s="37"/>
      <c r="R95" s="41">
        <v>0</v>
      </c>
      <c r="S95" s="47">
        <v>5.9</v>
      </c>
      <c r="T95" s="47">
        <v>7.25</v>
      </c>
      <c r="U95" s="47">
        <v>9.4600000000000009</v>
      </c>
      <c r="V95" s="47">
        <v>14.62</v>
      </c>
      <c r="W95" s="47">
        <v>34</v>
      </c>
      <c r="X95" s="47">
        <v>82.04</v>
      </c>
      <c r="Y95" s="47">
        <v>101.45</v>
      </c>
      <c r="Z95" s="47">
        <v>103.76</v>
      </c>
      <c r="AA95" s="47">
        <v>104.37</v>
      </c>
      <c r="AB95" s="46">
        <v>100</v>
      </c>
    </row>
    <row r="96" spans="1:28" x14ac:dyDescent="0.3">
      <c r="A96" s="37"/>
      <c r="B96" s="42" t="s">
        <v>307</v>
      </c>
      <c r="C96" s="45">
        <v>1</v>
      </c>
      <c r="D96" s="31" t="s">
        <v>17</v>
      </c>
      <c r="E96" s="32">
        <v>2.5</v>
      </c>
      <c r="F96" s="32" t="s">
        <v>19</v>
      </c>
      <c r="G96" s="32" t="s">
        <v>17</v>
      </c>
      <c r="H96" s="32" t="s">
        <v>17</v>
      </c>
      <c r="I96" s="32" t="s">
        <v>17</v>
      </c>
      <c r="J96" s="32" t="s">
        <v>17</v>
      </c>
      <c r="K96" s="37"/>
      <c r="L96" s="37"/>
      <c r="M96" s="37"/>
      <c r="N96" s="37"/>
      <c r="O96" s="37"/>
      <c r="P96" s="37"/>
      <c r="Q96" s="37"/>
      <c r="R96" s="41">
        <v>0</v>
      </c>
      <c r="S96" s="47">
        <v>5.55</v>
      </c>
      <c r="T96" s="47">
        <v>6.84</v>
      </c>
      <c r="U96" s="47">
        <v>11.01</v>
      </c>
      <c r="V96" s="47">
        <v>24.57</v>
      </c>
      <c r="W96" s="47">
        <v>55.2</v>
      </c>
      <c r="X96" s="47">
        <v>71.19</v>
      </c>
      <c r="Y96" s="47">
        <v>96.07</v>
      </c>
      <c r="Z96" s="47">
        <v>102.16</v>
      </c>
      <c r="AA96" s="47">
        <v>103.58</v>
      </c>
      <c r="AB96" s="46">
        <v>100</v>
      </c>
    </row>
    <row r="97" spans="1:28" x14ac:dyDescent="0.3">
      <c r="A97" s="37"/>
      <c r="B97" s="42" t="s">
        <v>308</v>
      </c>
      <c r="C97" s="45">
        <v>1.6</v>
      </c>
      <c r="D97" s="31">
        <v>3.5</v>
      </c>
      <c r="E97" s="32" t="s">
        <v>19</v>
      </c>
      <c r="F97" s="32">
        <v>2.5</v>
      </c>
      <c r="G97" s="32">
        <v>4.5</v>
      </c>
      <c r="H97" s="32" t="s">
        <v>17</v>
      </c>
      <c r="I97" s="32" t="s">
        <v>17</v>
      </c>
      <c r="J97" s="32" t="s">
        <v>17</v>
      </c>
      <c r="K97" s="37"/>
      <c r="L97" s="37"/>
      <c r="M97" s="37"/>
      <c r="N97" s="37"/>
      <c r="O97" s="37"/>
      <c r="P97" s="37"/>
      <c r="Q97" s="37"/>
      <c r="R97" s="41">
        <v>0</v>
      </c>
      <c r="S97" s="47">
        <v>3.46</v>
      </c>
      <c r="T97" s="47">
        <v>3.49</v>
      </c>
      <c r="U97" s="47">
        <v>4.34</v>
      </c>
      <c r="V97" s="47">
        <v>7.3</v>
      </c>
      <c r="W97" s="47">
        <v>14.48</v>
      </c>
      <c r="X97" s="47">
        <v>29.61</v>
      </c>
      <c r="Y97" s="47">
        <v>58.59</v>
      </c>
      <c r="Z97" s="47">
        <v>87.55</v>
      </c>
      <c r="AA97" s="47">
        <v>96.99</v>
      </c>
      <c r="AB97" s="46">
        <v>100</v>
      </c>
    </row>
    <row r="98" spans="1:28" x14ac:dyDescent="0.3">
      <c r="A98" s="37"/>
      <c r="B98" s="42" t="s">
        <v>309</v>
      </c>
      <c r="C98" s="45">
        <v>1.5</v>
      </c>
      <c r="D98" s="31">
        <v>3.5</v>
      </c>
      <c r="E98" s="32" t="s">
        <v>19</v>
      </c>
      <c r="F98" s="32">
        <v>2.5</v>
      </c>
      <c r="G98" s="32">
        <v>4.5</v>
      </c>
      <c r="H98" s="32" t="s">
        <v>17</v>
      </c>
      <c r="I98" s="32" t="s">
        <v>17</v>
      </c>
      <c r="J98" s="32" t="s">
        <v>17</v>
      </c>
      <c r="K98" s="37"/>
      <c r="L98" s="37"/>
      <c r="M98" s="37"/>
      <c r="N98" s="37"/>
      <c r="O98" s="37"/>
      <c r="P98" s="37"/>
      <c r="Q98" s="37"/>
      <c r="R98" s="41">
        <v>0</v>
      </c>
      <c r="S98" s="47">
        <v>2.82</v>
      </c>
      <c r="T98" s="47">
        <v>3.25</v>
      </c>
      <c r="U98" s="47">
        <v>4.04</v>
      </c>
      <c r="V98" s="47">
        <v>5.01</v>
      </c>
      <c r="W98" s="47">
        <v>9.66</v>
      </c>
      <c r="X98" s="47">
        <v>20.03</v>
      </c>
      <c r="Y98" s="47">
        <v>39.270000000000003</v>
      </c>
      <c r="Z98" s="47">
        <v>58.06</v>
      </c>
      <c r="AA98" s="47">
        <v>82.68</v>
      </c>
      <c r="AB98" s="46">
        <v>100</v>
      </c>
    </row>
    <row r="99" spans="1:28" x14ac:dyDescent="0.3">
      <c r="A99" s="37"/>
      <c r="B99" s="42" t="s">
        <v>310</v>
      </c>
      <c r="C99" s="43">
        <v>2</v>
      </c>
      <c r="D99" s="31">
        <v>3.5</v>
      </c>
      <c r="E99" s="32" t="s">
        <v>19</v>
      </c>
      <c r="F99" s="32">
        <v>2.5</v>
      </c>
      <c r="G99" s="32">
        <v>4.5</v>
      </c>
      <c r="H99" s="32" t="s">
        <v>17</v>
      </c>
      <c r="I99" s="32" t="s">
        <v>17</v>
      </c>
      <c r="J99" s="32" t="s">
        <v>17</v>
      </c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spans="1:28" x14ac:dyDescent="0.3">
      <c r="A100" s="37"/>
      <c r="B100" s="42" t="s">
        <v>311</v>
      </c>
      <c r="C100" s="43">
        <v>1.6</v>
      </c>
      <c r="D100" s="31">
        <v>3.5</v>
      </c>
      <c r="E100" s="32" t="s">
        <v>19</v>
      </c>
      <c r="F100" s="32">
        <v>2.5</v>
      </c>
      <c r="G100" s="32" t="s">
        <v>17</v>
      </c>
      <c r="H100" s="32" t="s">
        <v>17</v>
      </c>
      <c r="I100" s="32" t="s">
        <v>17</v>
      </c>
      <c r="J100" s="32" t="s">
        <v>17</v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spans="1:28" x14ac:dyDescent="0.3">
      <c r="A101" s="37"/>
      <c r="B101" s="42" t="s">
        <v>312</v>
      </c>
      <c r="C101" s="43">
        <v>1.5</v>
      </c>
      <c r="D101" s="31" t="s">
        <v>22</v>
      </c>
      <c r="E101" s="32">
        <v>3.5</v>
      </c>
      <c r="F101" s="32" t="s">
        <v>18</v>
      </c>
      <c r="G101" s="32">
        <v>2.5</v>
      </c>
      <c r="H101" s="32">
        <v>4.5</v>
      </c>
      <c r="I101" s="32">
        <v>4.5</v>
      </c>
      <c r="J101" s="32">
        <v>4.5</v>
      </c>
      <c r="K101" s="37"/>
      <c r="L101" s="37"/>
      <c r="M101" s="37"/>
      <c r="N101" s="37"/>
      <c r="O101" s="37"/>
      <c r="P101" s="37"/>
      <c r="Q101" s="37"/>
      <c r="R101" s="41">
        <v>0</v>
      </c>
      <c r="S101" s="47">
        <v>2.59</v>
      </c>
      <c r="T101" s="47">
        <v>3.59</v>
      </c>
      <c r="U101" s="47">
        <v>5.73</v>
      </c>
      <c r="V101" s="47">
        <v>7.38</v>
      </c>
      <c r="W101" s="47">
        <v>13.24</v>
      </c>
      <c r="X101" s="47">
        <v>27.9</v>
      </c>
      <c r="Y101" s="47">
        <v>54.34</v>
      </c>
      <c r="Z101" s="47">
        <v>91.27</v>
      </c>
      <c r="AA101" s="47">
        <v>99.37</v>
      </c>
      <c r="AB101" s="46">
        <v>100</v>
      </c>
    </row>
    <row r="102" spans="1:28" x14ac:dyDescent="0.3">
      <c r="A102" s="37"/>
      <c r="B102" s="42" t="s">
        <v>313</v>
      </c>
      <c r="C102" s="43">
        <v>1.3</v>
      </c>
      <c r="D102" s="31" t="s">
        <v>22</v>
      </c>
      <c r="E102" s="32" t="s">
        <v>18</v>
      </c>
      <c r="F102" s="32">
        <v>2.5</v>
      </c>
      <c r="G102" s="32">
        <v>1.5</v>
      </c>
      <c r="H102" s="32">
        <v>4.5</v>
      </c>
      <c r="I102" s="32">
        <v>4.5</v>
      </c>
      <c r="J102" s="32">
        <v>4.5</v>
      </c>
      <c r="K102" s="37"/>
      <c r="L102" s="37"/>
      <c r="M102" s="37"/>
      <c r="N102" s="37"/>
      <c r="O102" s="37"/>
      <c r="P102" s="37"/>
      <c r="Q102" s="37"/>
      <c r="R102" s="41">
        <v>0</v>
      </c>
      <c r="S102" s="47">
        <v>2.3199999999999998</v>
      </c>
      <c r="T102" s="47">
        <v>2.76</v>
      </c>
      <c r="U102" s="47">
        <v>4.12</v>
      </c>
      <c r="V102" s="47">
        <v>7.28</v>
      </c>
      <c r="W102" s="47">
        <v>19.45</v>
      </c>
      <c r="X102" s="47">
        <v>35.700000000000003</v>
      </c>
      <c r="Y102" s="47">
        <v>75.83</v>
      </c>
      <c r="Z102" s="47">
        <v>95.76</v>
      </c>
      <c r="AA102" s="47">
        <v>100.46</v>
      </c>
      <c r="AB102" s="46">
        <v>100</v>
      </c>
    </row>
    <row r="103" spans="1:28" x14ac:dyDescent="0.3">
      <c r="A103" s="37"/>
      <c r="B103" s="42" t="s">
        <v>314</v>
      </c>
      <c r="C103" s="43">
        <v>0.6</v>
      </c>
      <c r="D103" s="31" t="s">
        <v>22</v>
      </c>
      <c r="E103" s="32">
        <v>3.5</v>
      </c>
      <c r="F103" s="32" t="s">
        <v>18</v>
      </c>
      <c r="G103" s="32" t="s">
        <v>18</v>
      </c>
      <c r="H103" s="32">
        <v>4.5</v>
      </c>
      <c r="I103" s="32">
        <v>4.5</v>
      </c>
      <c r="J103" s="32">
        <v>4.5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1:28" x14ac:dyDescent="0.3">
      <c r="A104" s="37"/>
      <c r="B104" s="42" t="s">
        <v>315</v>
      </c>
      <c r="C104" s="43">
        <v>1.5</v>
      </c>
      <c r="D104" s="31" t="s">
        <v>18</v>
      </c>
      <c r="E104" s="32">
        <v>4.5</v>
      </c>
      <c r="F104" s="32">
        <v>4.5</v>
      </c>
      <c r="G104" s="32" t="s">
        <v>17</v>
      </c>
      <c r="H104" s="32">
        <v>4.5</v>
      </c>
      <c r="I104" s="32">
        <v>4.5</v>
      </c>
      <c r="J104" s="32">
        <v>4.5</v>
      </c>
      <c r="K104" s="37"/>
      <c r="L104" s="37"/>
      <c r="M104" s="37"/>
      <c r="N104" s="37"/>
      <c r="O104" s="37"/>
      <c r="P104" s="37"/>
      <c r="Q104" s="37"/>
      <c r="R104" s="41">
        <v>0</v>
      </c>
      <c r="S104" s="47">
        <v>2.34</v>
      </c>
      <c r="T104" s="47">
        <v>2.5499999999999998</v>
      </c>
      <c r="U104" s="47">
        <v>3.71</v>
      </c>
      <c r="V104" s="47">
        <v>5.58</v>
      </c>
      <c r="W104" s="47">
        <v>11.62</v>
      </c>
      <c r="X104" s="47">
        <v>31.67</v>
      </c>
      <c r="Y104" s="47">
        <v>55.08</v>
      </c>
      <c r="Z104" s="47">
        <v>92.55</v>
      </c>
      <c r="AA104" s="47">
        <v>97.97</v>
      </c>
      <c r="AB104" s="46">
        <v>100</v>
      </c>
    </row>
    <row r="105" spans="1:28" x14ac:dyDescent="0.3">
      <c r="A105" s="37"/>
      <c r="B105" s="42" t="s">
        <v>316</v>
      </c>
      <c r="C105" s="43">
        <v>2</v>
      </c>
      <c r="D105" s="31">
        <v>2.5</v>
      </c>
      <c r="E105" s="32">
        <v>4.5</v>
      </c>
      <c r="F105" s="32">
        <v>4.5</v>
      </c>
      <c r="G105" s="32">
        <v>4.5</v>
      </c>
      <c r="H105" s="32">
        <v>4.5</v>
      </c>
      <c r="I105" s="32">
        <v>4.5</v>
      </c>
      <c r="J105" s="32">
        <v>4.5</v>
      </c>
      <c r="K105" s="37"/>
      <c r="L105" s="37"/>
      <c r="M105" s="37"/>
      <c r="N105" s="37"/>
      <c r="O105" s="37"/>
      <c r="P105" s="37"/>
      <c r="Q105" s="37"/>
      <c r="R105" s="41">
        <v>0</v>
      </c>
      <c r="S105" s="47">
        <v>9.69</v>
      </c>
      <c r="T105" s="47">
        <v>13.76</v>
      </c>
      <c r="U105" s="47">
        <v>15.11</v>
      </c>
      <c r="V105" s="47">
        <v>18.5</v>
      </c>
      <c r="W105" s="47">
        <v>24.2</v>
      </c>
      <c r="X105" s="47">
        <v>31.89</v>
      </c>
      <c r="Y105" s="47">
        <v>52.49</v>
      </c>
      <c r="Z105" s="47">
        <v>74.11</v>
      </c>
      <c r="AA105" s="47">
        <v>85.3</v>
      </c>
      <c r="AB105" s="46">
        <v>100</v>
      </c>
    </row>
    <row r="106" spans="1:28" x14ac:dyDescent="0.3">
      <c r="A106" s="37"/>
      <c r="B106" s="42" t="s">
        <v>317</v>
      </c>
      <c r="C106" s="43">
        <v>1.1000000000000001</v>
      </c>
      <c r="D106" s="31">
        <v>7.5</v>
      </c>
      <c r="E106" s="32">
        <v>2.5</v>
      </c>
      <c r="F106" s="32" t="s">
        <v>19</v>
      </c>
      <c r="G106" s="32">
        <v>2.5</v>
      </c>
      <c r="H106" s="32" t="s">
        <v>17</v>
      </c>
      <c r="I106" s="32" t="s">
        <v>17</v>
      </c>
      <c r="J106" s="32" t="s">
        <v>17</v>
      </c>
      <c r="K106" s="37"/>
      <c r="L106" s="37"/>
      <c r="M106" s="37"/>
      <c r="N106" s="37"/>
      <c r="O106" s="37"/>
      <c r="P106" s="37"/>
      <c r="Q106" s="37"/>
      <c r="R106" s="41">
        <v>0</v>
      </c>
      <c r="S106" s="47">
        <v>3.16</v>
      </c>
      <c r="T106" s="47">
        <v>4.13</v>
      </c>
      <c r="U106" s="47">
        <v>8.49</v>
      </c>
      <c r="V106" s="47">
        <v>15.59</v>
      </c>
      <c r="W106" s="47">
        <v>37.5</v>
      </c>
      <c r="X106" s="47">
        <v>73.709999999999994</v>
      </c>
      <c r="Y106" s="47">
        <v>99.11</v>
      </c>
      <c r="Z106" s="47">
        <v>105.27</v>
      </c>
      <c r="AA106" s="47">
        <v>104.17</v>
      </c>
      <c r="AB106" s="46">
        <v>100</v>
      </c>
    </row>
    <row r="107" spans="1:28" x14ac:dyDescent="0.3">
      <c r="A107" s="37"/>
      <c r="B107" s="42" t="s">
        <v>318</v>
      </c>
      <c r="C107" s="43">
        <v>0.8</v>
      </c>
      <c r="D107" s="31" t="s">
        <v>20</v>
      </c>
      <c r="E107" s="32">
        <v>3.5</v>
      </c>
      <c r="F107" s="32">
        <v>2.5</v>
      </c>
      <c r="G107" s="32">
        <v>2.5</v>
      </c>
      <c r="H107" s="32" t="s">
        <v>17</v>
      </c>
      <c r="I107" s="32" t="s">
        <v>17</v>
      </c>
      <c r="J107" s="32" t="s">
        <v>17</v>
      </c>
      <c r="K107" s="37"/>
      <c r="L107" s="37"/>
      <c r="M107" s="37"/>
      <c r="N107" s="37"/>
      <c r="O107" s="37"/>
      <c r="P107" s="37"/>
      <c r="Q107" s="37"/>
      <c r="R107" s="41">
        <v>0</v>
      </c>
      <c r="S107" s="47">
        <v>1.82</v>
      </c>
      <c r="T107" s="47">
        <v>2.21</v>
      </c>
      <c r="U107" s="47">
        <v>3.77</v>
      </c>
      <c r="V107" s="47">
        <v>9.18</v>
      </c>
      <c r="W107" s="47">
        <v>22.95</v>
      </c>
      <c r="X107" s="47">
        <v>60.1</v>
      </c>
      <c r="Y107" s="47">
        <v>103.75</v>
      </c>
      <c r="Z107" s="47">
        <v>106.55</v>
      </c>
      <c r="AA107" s="47">
        <v>105.41</v>
      </c>
      <c r="AB107" s="46">
        <v>100</v>
      </c>
    </row>
    <row r="108" spans="1:28" x14ac:dyDescent="0.3">
      <c r="A108" s="37"/>
      <c r="B108" s="42" t="s">
        <v>319</v>
      </c>
      <c r="C108" s="43">
        <v>0.7</v>
      </c>
      <c r="D108" s="31" t="s">
        <v>22</v>
      </c>
      <c r="E108" s="32">
        <v>3.5</v>
      </c>
      <c r="F108" s="32">
        <v>2.5</v>
      </c>
      <c r="G108" s="32">
        <v>2.5</v>
      </c>
      <c r="H108" s="32">
        <v>4.5</v>
      </c>
      <c r="I108" s="32">
        <v>4.5</v>
      </c>
      <c r="J108" s="32">
        <v>4.5</v>
      </c>
      <c r="K108" s="37"/>
      <c r="L108" s="37"/>
      <c r="M108" s="37"/>
      <c r="N108" s="37"/>
      <c r="O108" s="37"/>
      <c r="P108" s="37"/>
      <c r="Q108" s="37"/>
      <c r="R108" s="41">
        <v>0</v>
      </c>
      <c r="S108" s="47">
        <v>2.5499999999999998</v>
      </c>
      <c r="T108" s="47">
        <v>3.22</v>
      </c>
      <c r="U108" s="47">
        <v>7.36</v>
      </c>
      <c r="V108" s="47">
        <v>14.73</v>
      </c>
      <c r="W108" s="47">
        <v>49.68</v>
      </c>
      <c r="X108" s="47">
        <v>88.14</v>
      </c>
      <c r="Y108" s="47">
        <v>102.03</v>
      </c>
      <c r="Z108" s="47">
        <v>106.23</v>
      </c>
      <c r="AA108" s="47">
        <v>103.4</v>
      </c>
      <c r="AB108" s="46">
        <v>100</v>
      </c>
    </row>
    <row r="109" spans="1:28" x14ac:dyDescent="0.3">
      <c r="A109" s="37"/>
      <c r="B109" s="42" t="s">
        <v>320</v>
      </c>
      <c r="C109" s="45">
        <v>1.5</v>
      </c>
      <c r="D109" s="31">
        <v>7.5</v>
      </c>
      <c r="E109" s="32" t="s">
        <v>19</v>
      </c>
      <c r="F109" s="32">
        <v>1.5</v>
      </c>
      <c r="G109" s="32">
        <v>1.5</v>
      </c>
      <c r="H109" s="32" t="s">
        <v>17</v>
      </c>
      <c r="I109" s="32" t="s">
        <v>17</v>
      </c>
      <c r="J109" s="32" t="s">
        <v>17</v>
      </c>
      <c r="K109" s="37"/>
      <c r="L109" s="37"/>
      <c r="M109" s="37"/>
      <c r="N109" s="37"/>
      <c r="O109" s="37"/>
      <c r="P109" s="37"/>
      <c r="Q109" s="37"/>
      <c r="R109" s="41">
        <v>0</v>
      </c>
      <c r="S109" s="47">
        <v>1.78</v>
      </c>
      <c r="T109" s="47">
        <v>1.96</v>
      </c>
      <c r="U109" s="47">
        <v>3.71</v>
      </c>
      <c r="V109" s="47">
        <v>10.85</v>
      </c>
      <c r="W109" s="47">
        <v>21.39</v>
      </c>
      <c r="X109" s="47">
        <v>57.65</v>
      </c>
      <c r="Y109" s="47">
        <v>101.29</v>
      </c>
      <c r="Z109" s="47">
        <v>103.06</v>
      </c>
      <c r="AA109" s="47">
        <v>103.21</v>
      </c>
      <c r="AB109" s="46">
        <v>100</v>
      </c>
    </row>
    <row r="110" spans="1:28" x14ac:dyDescent="0.3">
      <c r="A110" s="37"/>
      <c r="B110" s="42" t="s">
        <v>321</v>
      </c>
      <c r="C110" s="43">
        <v>1.3</v>
      </c>
      <c r="D110" s="31" t="s">
        <v>353</v>
      </c>
      <c r="E110" s="32" t="s">
        <v>19</v>
      </c>
      <c r="F110" s="32">
        <v>1.5</v>
      </c>
      <c r="G110" s="32">
        <v>2.5</v>
      </c>
      <c r="H110" s="32" t="s">
        <v>17</v>
      </c>
      <c r="I110" s="32" t="s">
        <v>17</v>
      </c>
      <c r="J110" s="32" t="s">
        <v>17</v>
      </c>
      <c r="K110" s="37"/>
      <c r="L110" s="37"/>
      <c r="M110" s="37"/>
      <c r="N110" s="37"/>
      <c r="O110" s="37"/>
      <c r="P110" s="37"/>
      <c r="Q110" s="37"/>
      <c r="R110" s="41">
        <v>0</v>
      </c>
      <c r="S110" s="47">
        <v>2.4700000000000002</v>
      </c>
      <c r="T110" s="47">
        <v>3.76</v>
      </c>
      <c r="U110" s="47">
        <v>11.54</v>
      </c>
      <c r="V110" s="47">
        <v>25.91</v>
      </c>
      <c r="W110" s="47">
        <v>58.99</v>
      </c>
      <c r="X110" s="47">
        <v>92.43</v>
      </c>
      <c r="Y110" s="47">
        <v>105.85</v>
      </c>
      <c r="Z110" s="47">
        <v>106.14</v>
      </c>
      <c r="AA110" s="47">
        <v>105.53</v>
      </c>
      <c r="AB110" s="46">
        <v>100</v>
      </c>
    </row>
    <row r="111" spans="1:28" x14ac:dyDescent="0.3">
      <c r="A111" s="37"/>
      <c r="B111" s="42" t="s">
        <v>322</v>
      </c>
      <c r="C111" s="43">
        <v>1</v>
      </c>
      <c r="D111" s="31">
        <v>7.5</v>
      </c>
      <c r="E111" s="32" t="s">
        <v>17</v>
      </c>
      <c r="F111" s="32" t="s">
        <v>18</v>
      </c>
      <c r="G111" s="32" t="s">
        <v>18</v>
      </c>
      <c r="H111" s="32" t="s">
        <v>17</v>
      </c>
      <c r="I111" s="32" t="s">
        <v>17</v>
      </c>
      <c r="J111" s="32" t="s">
        <v>17</v>
      </c>
      <c r="K111" s="37"/>
      <c r="L111" s="37"/>
      <c r="M111" s="37"/>
      <c r="N111" s="37"/>
      <c r="O111" s="37"/>
      <c r="P111" s="37"/>
      <c r="Q111" s="37"/>
      <c r="R111" s="41">
        <v>0</v>
      </c>
      <c r="S111" s="47">
        <v>5.51</v>
      </c>
      <c r="T111" s="47">
        <v>7.64</v>
      </c>
      <c r="U111" s="47">
        <v>14.22</v>
      </c>
      <c r="V111" s="47">
        <v>36.729999999999997</v>
      </c>
      <c r="W111" s="47">
        <v>77.72</v>
      </c>
      <c r="X111" s="47">
        <v>98.45</v>
      </c>
      <c r="Y111" s="47">
        <v>103.77</v>
      </c>
      <c r="Z111" s="47">
        <v>107.19</v>
      </c>
      <c r="AA111" s="47">
        <v>104.21</v>
      </c>
      <c r="AB111" s="46">
        <v>100</v>
      </c>
    </row>
    <row r="112" spans="1:28" x14ac:dyDescent="0.3">
      <c r="A112" s="37"/>
      <c r="B112" s="42" t="s">
        <v>323</v>
      </c>
      <c r="C112" s="45">
        <v>1</v>
      </c>
      <c r="D112" s="31">
        <v>7.5</v>
      </c>
      <c r="E112" s="32" t="s">
        <v>18</v>
      </c>
      <c r="F112" s="32">
        <v>2.5</v>
      </c>
      <c r="G112" s="32">
        <v>2.5</v>
      </c>
      <c r="H112" s="32" t="s">
        <v>17</v>
      </c>
      <c r="I112" s="32" t="s">
        <v>17</v>
      </c>
      <c r="J112" s="32" t="s">
        <v>17</v>
      </c>
      <c r="K112" s="37"/>
      <c r="L112" s="37"/>
      <c r="M112" s="37"/>
      <c r="N112" s="37"/>
      <c r="O112" s="37"/>
      <c r="P112" s="37"/>
      <c r="Q112" s="37"/>
      <c r="R112" s="41">
        <v>0</v>
      </c>
      <c r="S112" s="47">
        <v>5.26</v>
      </c>
      <c r="T112" s="47">
        <v>5.91</v>
      </c>
      <c r="U112" s="47">
        <v>11.41</v>
      </c>
      <c r="V112" s="47">
        <v>22</v>
      </c>
      <c r="W112" s="47">
        <v>58.18</v>
      </c>
      <c r="X112" s="47">
        <v>99.69</v>
      </c>
      <c r="Y112" s="47">
        <v>105.82</v>
      </c>
      <c r="Z112" s="47">
        <v>107.18</v>
      </c>
      <c r="AA112" s="47">
        <v>104.93</v>
      </c>
      <c r="AB112" s="46">
        <v>100</v>
      </c>
    </row>
    <row r="113" spans="1:28" x14ac:dyDescent="0.3">
      <c r="A113" s="37"/>
      <c r="B113" s="42" t="s">
        <v>324</v>
      </c>
      <c r="C113" s="45">
        <v>1</v>
      </c>
      <c r="D113" s="31" t="s">
        <v>353</v>
      </c>
      <c r="E113" s="32" t="s">
        <v>19</v>
      </c>
      <c r="F113" s="32">
        <v>1.5</v>
      </c>
      <c r="G113" s="32">
        <v>2.5</v>
      </c>
      <c r="H113" s="32">
        <v>4.5</v>
      </c>
      <c r="I113" s="32" t="s">
        <v>17</v>
      </c>
      <c r="J113" s="32" t="s">
        <v>17</v>
      </c>
      <c r="K113" s="37"/>
      <c r="L113" s="37"/>
      <c r="M113" s="37"/>
      <c r="N113" s="37"/>
      <c r="O113" s="37"/>
      <c r="P113" s="37"/>
      <c r="Q113" s="37"/>
      <c r="R113" s="41">
        <v>0</v>
      </c>
      <c r="S113" s="47">
        <v>3.64</v>
      </c>
      <c r="T113" s="47">
        <v>4.82</v>
      </c>
      <c r="U113" s="47">
        <v>12.95</v>
      </c>
      <c r="V113" s="47">
        <v>36.46</v>
      </c>
      <c r="W113" s="47">
        <v>70.33</v>
      </c>
      <c r="X113" s="47">
        <v>95.28</v>
      </c>
      <c r="Y113" s="47">
        <v>106.16</v>
      </c>
      <c r="Z113" s="47">
        <v>104.76</v>
      </c>
      <c r="AA113" s="47">
        <v>101.77</v>
      </c>
      <c r="AB113" s="46">
        <v>100</v>
      </c>
    </row>
    <row r="114" spans="1:28" x14ac:dyDescent="0.3">
      <c r="A114" s="37"/>
      <c r="B114" s="42" t="s">
        <v>325</v>
      </c>
      <c r="C114" s="45">
        <v>2</v>
      </c>
      <c r="D114" s="31">
        <v>7.5</v>
      </c>
      <c r="E114" s="32">
        <v>3.5</v>
      </c>
      <c r="F114" s="32" t="s">
        <v>18</v>
      </c>
      <c r="G114" s="32">
        <v>4.5</v>
      </c>
      <c r="H114" s="32">
        <v>4.5</v>
      </c>
      <c r="I114" s="32">
        <v>4.5</v>
      </c>
      <c r="J114" s="32">
        <v>4.5</v>
      </c>
      <c r="K114" s="37"/>
      <c r="L114" s="37"/>
      <c r="M114" s="37"/>
      <c r="N114" s="37"/>
      <c r="O114" s="37"/>
      <c r="P114" s="37"/>
      <c r="Q114" s="37"/>
      <c r="R114" s="41">
        <v>0</v>
      </c>
      <c r="S114" s="47">
        <v>2.92</v>
      </c>
      <c r="T114" s="47">
        <v>3.1</v>
      </c>
      <c r="U114" s="47">
        <v>3.3</v>
      </c>
      <c r="V114" s="47">
        <v>4.28</v>
      </c>
      <c r="W114" s="47">
        <v>9.24</v>
      </c>
      <c r="X114" s="47">
        <v>24.43</v>
      </c>
      <c r="Y114" s="47">
        <v>50.4</v>
      </c>
      <c r="Z114" s="47">
        <v>78.209999999999994</v>
      </c>
      <c r="AA114" s="47">
        <v>90.78</v>
      </c>
      <c r="AB114" s="46">
        <v>100</v>
      </c>
    </row>
    <row r="115" spans="1:28" x14ac:dyDescent="0.3">
      <c r="A115" s="37"/>
      <c r="B115" s="42" t="s">
        <v>326</v>
      </c>
      <c r="C115" s="45">
        <v>1.6</v>
      </c>
      <c r="D115" s="31" t="s">
        <v>353</v>
      </c>
      <c r="E115" s="32">
        <v>4.5</v>
      </c>
      <c r="F115" s="32" t="s">
        <v>17</v>
      </c>
      <c r="G115" s="32">
        <v>4.5</v>
      </c>
      <c r="H115" s="32">
        <v>4.5</v>
      </c>
      <c r="I115" s="32">
        <v>4.5</v>
      </c>
      <c r="J115" s="32">
        <v>4.5</v>
      </c>
      <c r="K115" s="37"/>
      <c r="L115" s="37"/>
      <c r="M115" s="37"/>
      <c r="N115" s="37"/>
      <c r="O115" s="37"/>
      <c r="P115" s="37"/>
      <c r="Q115" s="37"/>
      <c r="R115" s="41">
        <v>0</v>
      </c>
      <c r="S115" s="47">
        <v>2.83</v>
      </c>
      <c r="T115" s="47">
        <v>3.14</v>
      </c>
      <c r="U115" s="47">
        <v>3.64</v>
      </c>
      <c r="V115" s="47">
        <v>7.47</v>
      </c>
      <c r="W115" s="47">
        <v>20.49</v>
      </c>
      <c r="X115" s="47">
        <v>47.59</v>
      </c>
      <c r="Y115" s="47">
        <v>73.55</v>
      </c>
      <c r="Z115" s="47">
        <v>98.76</v>
      </c>
      <c r="AA115" s="47">
        <v>99.16</v>
      </c>
      <c r="AB115" s="46">
        <v>100</v>
      </c>
    </row>
    <row r="116" spans="1:28" x14ac:dyDescent="0.3">
      <c r="A116" s="37"/>
      <c r="B116" s="42" t="s">
        <v>327</v>
      </c>
      <c r="C116" s="45">
        <v>1.1000000000000001</v>
      </c>
      <c r="D116" s="31" t="s">
        <v>17</v>
      </c>
      <c r="E116" s="32">
        <v>4.5</v>
      </c>
      <c r="F116" s="32">
        <v>4.5</v>
      </c>
      <c r="G116" s="32">
        <v>4.5</v>
      </c>
      <c r="H116" s="32">
        <v>4.5</v>
      </c>
      <c r="I116" s="32">
        <v>4.5</v>
      </c>
      <c r="J116" s="32">
        <v>4.5</v>
      </c>
      <c r="K116" s="37"/>
      <c r="L116" s="37"/>
      <c r="M116" s="37"/>
      <c r="N116" s="37"/>
      <c r="O116" s="37"/>
      <c r="P116" s="37"/>
      <c r="Q116" s="37"/>
      <c r="R116" s="41">
        <v>0</v>
      </c>
      <c r="S116" s="47">
        <v>3.11</v>
      </c>
      <c r="T116" s="47">
        <v>3.27</v>
      </c>
      <c r="U116" s="47">
        <v>4.78</v>
      </c>
      <c r="V116" s="47">
        <v>12.39</v>
      </c>
      <c r="W116" s="47">
        <v>32</v>
      </c>
      <c r="X116" s="47">
        <v>43.02</v>
      </c>
      <c r="Y116" s="47">
        <v>72.91</v>
      </c>
      <c r="Z116" s="47">
        <v>101.06</v>
      </c>
      <c r="AA116" s="47">
        <v>100.97</v>
      </c>
      <c r="AB116" s="46">
        <v>100</v>
      </c>
    </row>
    <row r="117" spans="1:28" x14ac:dyDescent="0.3">
      <c r="A117" s="37"/>
      <c r="B117" s="42" t="s">
        <v>328</v>
      </c>
      <c r="C117" s="45">
        <v>1.2</v>
      </c>
      <c r="D117" s="31">
        <v>5.5</v>
      </c>
      <c r="E117" s="32">
        <v>4.5</v>
      </c>
      <c r="F117" s="32" t="s">
        <v>17</v>
      </c>
      <c r="G117" s="32">
        <v>4.5</v>
      </c>
      <c r="H117" s="32">
        <v>4.5</v>
      </c>
      <c r="I117" s="32">
        <v>4.5</v>
      </c>
      <c r="J117" s="32">
        <v>4.5</v>
      </c>
      <c r="K117" s="37"/>
      <c r="L117" s="37"/>
      <c r="M117" s="37"/>
      <c r="N117" s="37"/>
      <c r="O117" s="37"/>
      <c r="P117" s="37"/>
      <c r="Q117" s="37"/>
      <c r="R117" s="41">
        <v>0</v>
      </c>
      <c r="S117" s="47">
        <v>3.16</v>
      </c>
      <c r="T117" s="47">
        <v>3.63</v>
      </c>
      <c r="U117" s="47">
        <v>4.63</v>
      </c>
      <c r="V117" s="47">
        <v>8.0500000000000007</v>
      </c>
      <c r="W117" s="47">
        <v>18</v>
      </c>
      <c r="X117" s="47">
        <v>29.86</v>
      </c>
      <c r="Y117" s="47">
        <v>69.48</v>
      </c>
      <c r="Z117" s="47">
        <v>97.53</v>
      </c>
      <c r="AA117" s="47">
        <v>99.3</v>
      </c>
      <c r="AB117" s="46">
        <v>100</v>
      </c>
    </row>
    <row r="118" spans="1:28" x14ac:dyDescent="0.3">
      <c r="A118" s="37"/>
      <c r="B118" s="42" t="s">
        <v>329</v>
      </c>
      <c r="C118" s="45">
        <v>1.2</v>
      </c>
      <c r="D118" s="31">
        <v>5.5</v>
      </c>
      <c r="E118" s="32">
        <v>4.5</v>
      </c>
      <c r="F118" s="32">
        <v>4.5</v>
      </c>
      <c r="G118" s="32">
        <v>4.5</v>
      </c>
      <c r="H118" s="32">
        <v>4.5</v>
      </c>
      <c r="I118" s="32">
        <v>4.5</v>
      </c>
      <c r="J118" s="32">
        <v>4.5</v>
      </c>
      <c r="K118" s="37"/>
      <c r="L118" s="37"/>
      <c r="M118" s="37"/>
      <c r="N118" s="37"/>
      <c r="O118" s="37"/>
      <c r="P118" s="37"/>
      <c r="Q118" s="37"/>
      <c r="R118" s="41">
        <v>0</v>
      </c>
      <c r="S118" s="47">
        <v>3.07</v>
      </c>
      <c r="T118" s="47">
        <v>3.25</v>
      </c>
      <c r="U118" s="47">
        <v>4.43</v>
      </c>
      <c r="V118" s="47">
        <v>7.3</v>
      </c>
      <c r="W118" s="47">
        <v>18.2</v>
      </c>
      <c r="X118" s="47">
        <v>68.25</v>
      </c>
      <c r="Y118" s="47">
        <v>88.5</v>
      </c>
      <c r="Z118" s="47">
        <v>96.15</v>
      </c>
      <c r="AA118" s="47">
        <v>101.63</v>
      </c>
      <c r="AB118" s="46">
        <v>100</v>
      </c>
    </row>
    <row r="119" spans="1:28" x14ac:dyDescent="0.3">
      <c r="A119" s="37"/>
      <c r="B119" s="42" t="s">
        <v>330</v>
      </c>
      <c r="C119" s="45">
        <v>1.8</v>
      </c>
      <c r="D119" s="31" t="s">
        <v>20</v>
      </c>
      <c r="E119" s="32">
        <v>4.5</v>
      </c>
      <c r="F119" s="32" t="s">
        <v>17</v>
      </c>
      <c r="G119" s="32" t="s">
        <v>17</v>
      </c>
      <c r="H119" s="32">
        <v>4.5</v>
      </c>
      <c r="I119" s="32" t="s">
        <v>17</v>
      </c>
      <c r="J119" s="32" t="s">
        <v>17</v>
      </c>
      <c r="K119" s="37"/>
      <c r="L119" s="37"/>
      <c r="M119" s="37"/>
      <c r="N119" s="37"/>
      <c r="O119" s="37"/>
      <c r="P119" s="37"/>
      <c r="Q119" s="37"/>
      <c r="R119" s="41">
        <v>0</v>
      </c>
      <c r="S119" s="47">
        <v>1.43</v>
      </c>
      <c r="T119" s="47">
        <v>1.54</v>
      </c>
      <c r="U119" s="47">
        <v>1.82</v>
      </c>
      <c r="V119" s="47">
        <v>3.59</v>
      </c>
      <c r="W119" s="47">
        <v>10.78</v>
      </c>
      <c r="X119" s="47">
        <v>32.35</v>
      </c>
      <c r="Y119" s="47">
        <v>75.13</v>
      </c>
      <c r="Z119" s="47">
        <v>90.17</v>
      </c>
      <c r="AA119" s="47">
        <v>92.7</v>
      </c>
      <c r="AB119" s="46">
        <v>100</v>
      </c>
    </row>
    <row r="120" spans="1:28" x14ac:dyDescent="0.3">
      <c r="A120" s="37"/>
      <c r="B120" s="42" t="s">
        <v>331</v>
      </c>
      <c r="C120" s="45">
        <v>4</v>
      </c>
      <c r="D120" s="31">
        <v>6.5</v>
      </c>
      <c r="E120" s="32">
        <v>3.5</v>
      </c>
      <c r="F120" s="32">
        <v>3.5</v>
      </c>
      <c r="G120" s="32">
        <v>3.5</v>
      </c>
      <c r="H120" s="32">
        <v>4.5</v>
      </c>
      <c r="I120" s="32" t="s">
        <v>17</v>
      </c>
      <c r="J120" s="32" t="s">
        <v>17</v>
      </c>
      <c r="K120" s="37"/>
      <c r="L120" s="37"/>
      <c r="M120" s="37"/>
      <c r="N120" s="37"/>
      <c r="O120" s="37"/>
      <c r="P120" s="37"/>
      <c r="Q120" s="37"/>
      <c r="R120" s="41">
        <v>0</v>
      </c>
      <c r="S120" s="47">
        <v>0.8</v>
      </c>
      <c r="T120" s="47">
        <v>0.89</v>
      </c>
      <c r="U120" s="47">
        <v>1.1499999999999999</v>
      </c>
      <c r="V120" s="47">
        <v>2.76</v>
      </c>
      <c r="W120" s="47">
        <v>7.52</v>
      </c>
      <c r="X120" s="47">
        <v>25.96</v>
      </c>
      <c r="Y120" s="47">
        <v>57.09</v>
      </c>
      <c r="Z120" s="47">
        <v>83.38</v>
      </c>
      <c r="AA120" s="47">
        <v>94.07</v>
      </c>
      <c r="AB120" s="46">
        <v>100</v>
      </c>
    </row>
    <row r="121" spans="1:28" x14ac:dyDescent="0.3">
      <c r="A121" s="37"/>
      <c r="B121" s="42" t="s">
        <v>332</v>
      </c>
      <c r="C121" s="45">
        <v>1</v>
      </c>
      <c r="D121" s="31" t="s">
        <v>353</v>
      </c>
      <c r="E121" s="32" t="s">
        <v>18</v>
      </c>
      <c r="F121" s="32" t="s">
        <v>18</v>
      </c>
      <c r="G121" s="32" t="s">
        <v>18</v>
      </c>
      <c r="H121" s="32" t="s">
        <v>17</v>
      </c>
      <c r="I121" s="32" t="s">
        <v>17</v>
      </c>
      <c r="J121" s="32" t="s">
        <v>17</v>
      </c>
      <c r="K121" s="37"/>
      <c r="L121" s="37"/>
      <c r="M121" s="37"/>
      <c r="N121" s="37"/>
      <c r="O121" s="37"/>
      <c r="P121" s="37"/>
      <c r="Q121" s="37"/>
      <c r="R121" s="41">
        <v>0</v>
      </c>
      <c r="S121" s="47">
        <v>12</v>
      </c>
      <c r="T121" s="47">
        <v>12.63</v>
      </c>
      <c r="U121" s="47">
        <v>13.13</v>
      </c>
      <c r="V121" s="47">
        <v>13.25</v>
      </c>
      <c r="W121" s="47">
        <v>16.8</v>
      </c>
      <c r="X121" s="47">
        <v>35.44</v>
      </c>
      <c r="Y121" s="47">
        <v>83.12</v>
      </c>
      <c r="Z121" s="47">
        <v>95.73</v>
      </c>
      <c r="AA121" s="47">
        <v>98.78</v>
      </c>
      <c r="AB121" s="46">
        <v>100</v>
      </c>
    </row>
    <row r="122" spans="1:28" x14ac:dyDescent="0.3">
      <c r="A122" s="37"/>
      <c r="B122" s="42" t="s">
        <v>333</v>
      </c>
      <c r="C122" s="45">
        <v>1</v>
      </c>
      <c r="D122" s="31" t="s">
        <v>353</v>
      </c>
      <c r="E122" s="32" t="s">
        <v>18</v>
      </c>
      <c r="F122" s="32" t="s">
        <v>18</v>
      </c>
      <c r="G122" s="32" t="s">
        <v>18</v>
      </c>
      <c r="H122" s="32" t="s">
        <v>17</v>
      </c>
      <c r="I122" s="32" t="s">
        <v>17</v>
      </c>
      <c r="J122" s="32" t="s">
        <v>17</v>
      </c>
      <c r="K122" s="37"/>
      <c r="L122" s="37"/>
      <c r="M122" s="37"/>
      <c r="N122" s="37"/>
      <c r="O122" s="37"/>
      <c r="P122" s="37"/>
      <c r="Q122" s="37"/>
      <c r="R122" s="41">
        <v>0</v>
      </c>
      <c r="S122" s="47">
        <v>25.84</v>
      </c>
      <c r="T122" s="47">
        <v>32.35</v>
      </c>
      <c r="U122" s="47">
        <v>35</v>
      </c>
      <c r="V122" s="47">
        <v>40.78</v>
      </c>
      <c r="W122" s="47">
        <v>65.650000000000006</v>
      </c>
      <c r="X122" s="47">
        <v>98</v>
      </c>
      <c r="Y122" s="47">
        <v>100</v>
      </c>
      <c r="Z122" s="47">
        <v>100</v>
      </c>
      <c r="AA122" s="47">
        <v>100</v>
      </c>
      <c r="AB122" s="46">
        <v>100</v>
      </c>
    </row>
    <row r="123" spans="1:28" x14ac:dyDescent="0.3">
      <c r="A123" s="37"/>
      <c r="B123" s="42" t="s">
        <v>334</v>
      </c>
      <c r="C123" s="45">
        <v>1</v>
      </c>
      <c r="D123" s="31" t="s">
        <v>353</v>
      </c>
      <c r="E123" s="32">
        <v>2.5</v>
      </c>
      <c r="F123" s="32">
        <v>2.5</v>
      </c>
      <c r="G123" s="32" t="s">
        <v>18</v>
      </c>
      <c r="H123" s="32" t="s">
        <v>17</v>
      </c>
      <c r="I123" s="32" t="s">
        <v>17</v>
      </c>
      <c r="J123" s="32" t="s">
        <v>17</v>
      </c>
      <c r="K123" s="37"/>
      <c r="L123" s="37"/>
      <c r="M123" s="37"/>
      <c r="N123" s="37"/>
      <c r="O123" s="37"/>
      <c r="P123" s="37"/>
      <c r="Q123" s="37"/>
      <c r="R123" s="41">
        <v>0</v>
      </c>
      <c r="S123" s="47">
        <v>28.93</v>
      </c>
      <c r="T123" s="47">
        <v>31.36</v>
      </c>
      <c r="U123" s="47">
        <v>34.86</v>
      </c>
      <c r="V123" s="47">
        <v>46.27</v>
      </c>
      <c r="W123" s="47">
        <v>63</v>
      </c>
      <c r="X123" s="47">
        <v>99.14</v>
      </c>
      <c r="Y123" s="47">
        <v>100</v>
      </c>
      <c r="Z123" s="47">
        <v>100</v>
      </c>
      <c r="AA123" s="47">
        <v>100</v>
      </c>
      <c r="AB123" s="46">
        <v>100</v>
      </c>
    </row>
    <row r="124" spans="1:28" x14ac:dyDescent="0.3">
      <c r="A124" s="37"/>
      <c r="B124" s="42" t="s">
        <v>335</v>
      </c>
      <c r="C124" s="45">
        <v>2</v>
      </c>
      <c r="D124" s="31">
        <v>7.5</v>
      </c>
      <c r="E124" s="32" t="s">
        <v>18</v>
      </c>
      <c r="F124" s="32" t="s">
        <v>18</v>
      </c>
      <c r="G124" s="32">
        <v>4.5</v>
      </c>
      <c r="H124" s="32">
        <v>3.5</v>
      </c>
      <c r="I124" s="32">
        <v>3.5</v>
      </c>
      <c r="J124" s="32">
        <v>3.5</v>
      </c>
      <c r="K124" s="37"/>
      <c r="L124" s="37"/>
      <c r="M124" s="37"/>
      <c r="N124" s="37"/>
      <c r="O124" s="37"/>
      <c r="P124" s="37"/>
      <c r="Q124" s="37"/>
      <c r="R124" s="41">
        <v>0</v>
      </c>
      <c r="S124" s="41">
        <v>44.85</v>
      </c>
      <c r="T124" s="41">
        <v>52.14</v>
      </c>
      <c r="U124" s="41">
        <v>53.96</v>
      </c>
      <c r="V124" s="41">
        <v>57.83</v>
      </c>
      <c r="W124" s="41">
        <v>83.74</v>
      </c>
      <c r="X124" s="41">
        <v>98</v>
      </c>
      <c r="Y124" s="41">
        <v>100</v>
      </c>
      <c r="Z124" s="41">
        <v>100</v>
      </c>
      <c r="AA124" s="41">
        <v>100</v>
      </c>
      <c r="AB124" s="46">
        <v>100</v>
      </c>
    </row>
    <row r="125" spans="1:28" x14ac:dyDescent="0.3">
      <c r="A125" s="37"/>
      <c r="B125" s="42" t="s">
        <v>336</v>
      </c>
      <c r="C125" s="45">
        <v>0.4</v>
      </c>
      <c r="D125" s="31">
        <v>5.5</v>
      </c>
      <c r="E125" s="32">
        <v>3.5</v>
      </c>
      <c r="F125" s="32" t="s">
        <v>18</v>
      </c>
      <c r="G125" s="32">
        <v>4.5</v>
      </c>
      <c r="H125" s="32">
        <v>4.5</v>
      </c>
      <c r="I125" s="32">
        <v>4.5</v>
      </c>
      <c r="J125" s="32">
        <v>4.5</v>
      </c>
      <c r="K125" s="37"/>
      <c r="L125" s="37"/>
      <c r="M125" s="37"/>
      <c r="N125" s="37"/>
      <c r="O125" s="37"/>
      <c r="P125" s="37"/>
      <c r="Q125" s="37"/>
      <c r="R125" s="41">
        <v>0</v>
      </c>
      <c r="S125" s="47">
        <v>9.39</v>
      </c>
      <c r="T125" s="47">
        <v>10.67</v>
      </c>
      <c r="U125" s="47">
        <v>10.93</v>
      </c>
      <c r="V125" s="47">
        <v>11.07</v>
      </c>
      <c r="W125" s="47">
        <v>13.74</v>
      </c>
      <c r="X125" s="47">
        <v>25.56</v>
      </c>
      <c r="Y125" s="47">
        <v>44.92</v>
      </c>
      <c r="Z125" s="47">
        <v>59.36</v>
      </c>
      <c r="AA125" s="47">
        <v>87.5</v>
      </c>
      <c r="AB125" s="46">
        <v>100</v>
      </c>
    </row>
    <row r="126" spans="1:28" x14ac:dyDescent="0.3">
      <c r="A126" s="37"/>
      <c r="B126" s="42" t="s">
        <v>337</v>
      </c>
      <c r="C126" s="45">
        <v>2</v>
      </c>
      <c r="D126" s="31" t="s">
        <v>353</v>
      </c>
      <c r="E126" s="32" t="s">
        <v>18</v>
      </c>
      <c r="F126" s="32" t="s">
        <v>18</v>
      </c>
      <c r="G126" s="32" t="s">
        <v>17</v>
      </c>
      <c r="H126" s="32">
        <v>4.5</v>
      </c>
      <c r="I126" s="32">
        <v>4.5</v>
      </c>
      <c r="J126" s="32">
        <v>4.5</v>
      </c>
      <c r="K126" s="37"/>
      <c r="L126" s="37"/>
      <c r="M126" s="37"/>
      <c r="N126" s="37"/>
      <c r="O126" s="37"/>
      <c r="P126" s="37"/>
      <c r="Q126" s="37"/>
      <c r="R126" s="41">
        <v>0</v>
      </c>
      <c r="S126" s="47">
        <v>7.41</v>
      </c>
      <c r="T126" s="47">
        <v>8.0399999999999991</v>
      </c>
      <c r="U126" s="47">
        <v>9.66</v>
      </c>
      <c r="V126" s="47">
        <v>10.6</v>
      </c>
      <c r="W126" s="47">
        <v>13.16</v>
      </c>
      <c r="X126" s="47">
        <v>25.64</v>
      </c>
      <c r="Y126" s="47">
        <v>47.72</v>
      </c>
      <c r="Z126" s="47">
        <v>72.53</v>
      </c>
      <c r="AA126" s="47">
        <v>98</v>
      </c>
      <c r="AB126" s="46">
        <v>100</v>
      </c>
    </row>
    <row r="127" spans="1:28" x14ac:dyDescent="0.3">
      <c r="A127" s="37"/>
      <c r="B127" s="42" t="s">
        <v>338</v>
      </c>
      <c r="C127" s="45">
        <v>1.3</v>
      </c>
      <c r="D127" s="31" t="s">
        <v>22</v>
      </c>
      <c r="E127" s="32">
        <v>2.5</v>
      </c>
      <c r="F127" s="32">
        <v>2.5</v>
      </c>
      <c r="G127" s="32">
        <v>4.5</v>
      </c>
      <c r="H127" s="32">
        <v>4.5</v>
      </c>
      <c r="I127" s="32">
        <v>4.5</v>
      </c>
      <c r="J127" s="32">
        <v>4.5</v>
      </c>
      <c r="K127" s="37"/>
      <c r="L127" s="37"/>
      <c r="M127" s="37"/>
      <c r="N127" s="37"/>
      <c r="O127" s="37"/>
      <c r="P127" s="37"/>
      <c r="Q127" s="37"/>
      <c r="R127" s="41">
        <v>0</v>
      </c>
      <c r="S127" s="47">
        <v>9.6300000000000008</v>
      </c>
      <c r="T127" s="47">
        <v>10.46</v>
      </c>
      <c r="U127" s="47">
        <v>12.43</v>
      </c>
      <c r="V127" s="47">
        <v>14.64</v>
      </c>
      <c r="W127" s="47">
        <v>26.23</v>
      </c>
      <c r="X127" s="47">
        <v>55.23</v>
      </c>
      <c r="Y127" s="47">
        <v>94.4</v>
      </c>
      <c r="Z127" s="41">
        <v>98.17</v>
      </c>
      <c r="AA127" s="47">
        <v>100</v>
      </c>
      <c r="AB127" s="46">
        <v>100</v>
      </c>
    </row>
    <row r="128" spans="1:28" x14ac:dyDescent="0.3">
      <c r="A128" s="37"/>
      <c r="B128" s="42" t="s">
        <v>339</v>
      </c>
      <c r="C128" s="45">
        <v>1.3</v>
      </c>
      <c r="D128" s="31" t="s">
        <v>22</v>
      </c>
      <c r="E128" s="32" t="s">
        <v>18</v>
      </c>
      <c r="F128" s="32" t="s">
        <v>18</v>
      </c>
      <c r="G128" s="32" t="s">
        <v>17</v>
      </c>
      <c r="H128" s="32">
        <v>4.5</v>
      </c>
      <c r="I128" s="32">
        <v>4.5</v>
      </c>
      <c r="J128" s="32">
        <v>4.5</v>
      </c>
      <c r="K128" s="37"/>
      <c r="L128" s="37"/>
      <c r="M128" s="37"/>
      <c r="N128" s="37"/>
      <c r="O128" s="37"/>
      <c r="P128" s="37"/>
      <c r="Q128" s="37"/>
      <c r="R128" s="41">
        <v>0</v>
      </c>
      <c r="S128" s="47">
        <v>8.83</v>
      </c>
      <c r="T128" s="47">
        <v>10.83</v>
      </c>
      <c r="U128" s="47">
        <v>12.96</v>
      </c>
      <c r="V128" s="47">
        <v>14.03</v>
      </c>
      <c r="W128" s="47">
        <v>15.85</v>
      </c>
      <c r="X128" s="47">
        <v>28.17</v>
      </c>
      <c r="Y128" s="47">
        <v>55.66</v>
      </c>
      <c r="Z128" s="47">
        <v>77.099999999999994</v>
      </c>
      <c r="AA128" s="47">
        <v>100</v>
      </c>
      <c r="AB128" s="46">
        <v>100</v>
      </c>
    </row>
    <row r="129" spans="1:28" x14ac:dyDescent="0.3">
      <c r="A129" s="37"/>
      <c r="B129" s="42" t="s">
        <v>340</v>
      </c>
      <c r="C129" s="45">
        <v>1.7</v>
      </c>
      <c r="D129" s="31" t="s">
        <v>22</v>
      </c>
      <c r="E129" s="32" t="s">
        <v>18</v>
      </c>
      <c r="F129" s="32" t="s">
        <v>18</v>
      </c>
      <c r="G129" s="32">
        <v>4.5</v>
      </c>
      <c r="H129" s="32">
        <v>4.5</v>
      </c>
      <c r="I129" s="32">
        <v>4.5</v>
      </c>
      <c r="J129" s="32">
        <v>4.5</v>
      </c>
      <c r="K129" s="37"/>
      <c r="L129" s="37"/>
      <c r="M129" s="37"/>
      <c r="N129" s="37"/>
      <c r="O129" s="37"/>
      <c r="P129" s="37"/>
      <c r="Q129" s="37"/>
      <c r="R129" s="41">
        <v>0</v>
      </c>
      <c r="S129" s="47">
        <v>7.36</v>
      </c>
      <c r="T129" s="47">
        <v>8.3800000000000008</v>
      </c>
      <c r="U129" s="47">
        <v>9.39</v>
      </c>
      <c r="V129" s="47">
        <v>10.86</v>
      </c>
      <c r="W129" s="47">
        <v>15.84</v>
      </c>
      <c r="X129" s="47">
        <v>29.87</v>
      </c>
      <c r="Y129" s="47">
        <v>50.43</v>
      </c>
      <c r="Z129" s="47">
        <v>85.94</v>
      </c>
      <c r="AA129" s="47">
        <v>97.23</v>
      </c>
      <c r="AB129" s="46">
        <v>100</v>
      </c>
    </row>
    <row r="130" spans="1:28" x14ac:dyDescent="0.3">
      <c r="A130" s="37"/>
      <c r="B130" s="42" t="s">
        <v>341</v>
      </c>
      <c r="C130" s="45">
        <v>4</v>
      </c>
      <c r="D130" s="31">
        <v>7.5</v>
      </c>
      <c r="E130" s="32">
        <v>1.5</v>
      </c>
      <c r="F130" s="32">
        <v>1.5</v>
      </c>
      <c r="G130" s="32">
        <v>2.5</v>
      </c>
      <c r="H130" s="32">
        <v>4.5</v>
      </c>
      <c r="I130" s="32">
        <v>4.5</v>
      </c>
      <c r="J130" s="32">
        <v>4.5</v>
      </c>
      <c r="K130" s="37"/>
      <c r="L130" s="37"/>
      <c r="M130" s="37"/>
      <c r="N130" s="37"/>
      <c r="O130" s="37"/>
      <c r="P130" s="37"/>
      <c r="Q130" s="37"/>
      <c r="R130" s="41">
        <v>0</v>
      </c>
      <c r="S130" s="47">
        <v>5.43</v>
      </c>
      <c r="T130" s="47">
        <v>5.91</v>
      </c>
      <c r="U130" s="47">
        <v>6.45</v>
      </c>
      <c r="V130" s="47">
        <v>7.5</v>
      </c>
      <c r="W130" s="47">
        <v>10.93</v>
      </c>
      <c r="X130" s="47">
        <v>28.5</v>
      </c>
      <c r="Y130" s="47">
        <v>57.36</v>
      </c>
      <c r="Z130" s="47">
        <v>80.75</v>
      </c>
      <c r="AA130" s="47">
        <v>95.38</v>
      </c>
      <c r="AB130" s="46">
        <v>100</v>
      </c>
    </row>
  </sheetData>
  <autoFilter ref="A2:AC130" xr:uid="{A45586FA-528F-4D71-BD51-4B048A117958}"/>
  <mergeCells count="4">
    <mergeCell ref="R1:AB1"/>
    <mergeCell ref="E1:F1"/>
    <mergeCell ref="I1:J1"/>
    <mergeCell ref="K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2026-07-06T00:32:40Z</dcterms:created>
  <dcterms:modified xsi:type="dcterms:W3CDTF">2026-09-03T08:22:19Z</dcterms:modified>
</cp:coreProperties>
</file>